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Raw Data" sheetId="2" state="visible" r:id="rId4"/>
    <sheet name="Regional Analysis" sheetId="3" state="visible" r:id="rId5"/>
    <sheet name="Category Analysis" sheetId="4" state="visible" r:id="rId6"/>
    <sheet name="Monthly Trend" sheetId="5" state="visible" r:id="rId7"/>
    <sheet name="Pivot Tab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<sst xmlns="http://schemas.openxmlformats.org/spreadsheetml/2006/main" count="994" uniqueCount="55">
  <si>
    <t xml:space="preserve">🏪  SALES PERFORMANCE DASHBOARD  –  FY 2023</t>
  </si>
  <si>
    <t xml:space="preserve">Regions: North · South · East · West · Central   |   Categories: Electronics · Clothing · Furniture · Groceries · Sports</t>
  </si>
  <si>
    <t xml:space="preserve">TOTAL SALES</t>
  </si>
  <si>
    <t xml:space="preserve">TOTAL PROFIT</t>
  </si>
  <si>
    <t xml:space="preserve">AVG PROFIT MARGIN</t>
  </si>
  <si>
    <t xml:space="preserve">TOTAL UNITS SOLD</t>
  </si>
  <si>
    <t xml:space="preserve">₹81,433,480</t>
  </si>
  <si>
    <t xml:space="preserve">₹18,075,229</t>
  </si>
  <si>
    <t xml:space="preserve">22.2%</t>
  </si>
  <si>
    <t xml:space="preserve">329,741</t>
  </si>
  <si>
    <t xml:space="preserve">▶  TOP PERFORMING REGIONS</t>
  </si>
  <si>
    <t xml:space="preserve">Rank</t>
  </si>
  <si>
    <t xml:space="preserve">Region</t>
  </si>
  <si>
    <t xml:space="preserve">Sales (₹)</t>
  </si>
  <si>
    <t xml:space="preserve">Profit (₹)</t>
  </si>
  <si>
    <t xml:space="preserve">Margin %</t>
  </si>
  <si>
    <t xml:space="preserve">🏆 South</t>
  </si>
  <si>
    <t xml:space="preserve">West</t>
  </si>
  <si>
    <t xml:space="preserve">North</t>
  </si>
  <si>
    <t xml:space="preserve">Central</t>
  </si>
  <si>
    <t xml:space="preserve">East</t>
  </si>
  <si>
    <t xml:space="preserve">▶  TOP PERFORMING CATEGORIES</t>
  </si>
  <si>
    <t xml:space="preserve">Category</t>
  </si>
  <si>
    <t xml:space="preserve">Units Sold</t>
  </si>
  <si>
    <t xml:space="preserve">Groceries</t>
  </si>
  <si>
    <t xml:space="preserve">Clothing</t>
  </si>
  <si>
    <t xml:space="preserve">Sports</t>
  </si>
  <si>
    <t xml:space="preserve">Furniture</t>
  </si>
  <si>
    <t xml:space="preserve">Electronics</t>
  </si>
  <si>
    <t xml:space="preserve">Month</t>
  </si>
  <si>
    <t xml:space="preserve">Jan 2023</t>
  </si>
  <si>
    <t xml:space="preserve">South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</si>
  <si>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</si>
  <si>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</si>
  <si>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</si>
  <si>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</si>
  <si>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</si>
  <si>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</si>
  <si>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</si>
  <si>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</si>
  <si>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</si>
  <si>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</si>
  <si>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</si>
  <si>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📊  Regional Sales Performance – 2023</t>
  </si>
  <si>
    <t xml:space="preserve">Total Sales (₹)</t>
  </si>
  <si>
    <t xml:space="preserve">Total Profit (₹)</t>
  </si>
  <si>
    <t xml:space="preserve">Profit Margin %</t>
  </si>
  <si>
    <t xml:space="preserve">TOTAL</t>
  </si>
  <si>
    <t xml:space="preserve">📦  Category Performance Analysis – 2023</t>
  </si>
  <si>
    <t xml:space="preserve">📈  Monthly Sales Trend – 2023</t>
  </si>
  <si>
    <t xml:space="preserve">MoM Growth %</t>
  </si>
  <si>
    <t xml:space="preserve">N/A</t>
  </si>
  <si>
    <t xml:space="preserve">🔢  Pivot Table: Sales by Region × Category (₹)</t>
  </si>
  <si>
    <t xml:space="preserve">Row Total</t>
  </si>
  <si>
    <t xml:space="preserve">Grand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</si>
</sst>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"/>
    <numFmt numFmtId="166" formatCode="0.0%"/>
    <numFmt numFmtId="167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BDD7E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75B6"/>
        <bgColor rgb="FF4A7EBB"/>
      </patternFill>
    </fill>
    <fill>
      <patternFill patternType="solid">
        <fgColor rgb="FF70AD47"/>
        <bgColor rgb="FF9BBB59"/>
      </patternFill>
    </fill>
    <fill>
      <patternFill patternType="solid">
        <fgColor rgb="FFED7D31"/>
        <bgColor rgb="FFFF8080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CCCCC"/>
      <rgbColor rgb="FF878787"/>
      <rgbColor rgb="FF9999FF"/>
      <rgbColor rgb="FF7030A0"/>
      <rgbColor rgb="FFF9F9F9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ED7D31"/>
      <rgbColor rgb="FF8064A2"/>
      <rgbColor rgb="FF70AD47"/>
      <rgbColor rgb="FF1F3864"/>
      <rgbColor rgb="FF4A7EBB"/>
      <rgbColor rgb="FF003300"/>
      <rgbColor rgb="FF333300"/>
      <rgbColor rgb="FF993300"/>
      <rgbColor rgb="FFC0504D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'Regional Analysis'!B2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Analysis'!$A$3:$A$7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  <c:pt idx="3">
                  <c:v>Central</c:v>
                </c:pt>
                <c:pt idx="4">
                  <c:v>East</c:v>
                </c:pt>
              </c:strCache>
            </c:strRef>
          </c:cat>
          <c:val>
            <c:numRef>
              <c:f>'Regional Analysis'!$B$3:$B$7</c:f>
              <c:numCache>
                <c:formatCode>\₹#,##0</c:formatCode>
                <c:ptCount val="5"/>
                <c:pt idx="0">
                  <c:v>16965827</c:v>
                </c:pt>
                <c:pt idx="1">
                  <c:v>16759928</c:v>
                </c:pt>
                <c:pt idx="2">
                  <c:v>16169503</c:v>
                </c:pt>
                <c:pt idx="3">
                  <c:v>15940210</c:v>
                </c:pt>
                <c:pt idx="4">
                  <c:v>15598012</c:v>
                </c:pt>
              </c:numCache>
            </c:numRef>
          </c:val>
        </c:ser>
        <c:gapWidth val="150"/>
        <c:overlap val="0"/>
        <c:axId val="13351959"/>
        <c:axId val="76434934"/>
      </c:barChart>
      <c:catAx>
        <c:axId val="13351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34934"/>
        <c:crosses val="autoZero"/>
        <c:auto val="1"/>
        <c:lblAlgn val="ctr"/>
        <c:lblOffset val="100"/>
        <c:noMultiLvlLbl val="0"/>
      </c:catAx>
      <c:valAx>
        <c:axId val="764349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519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'Category Analysis'!C2</c:f>
              <c:strCache>
                <c:ptCount val="1"/>
                <c:pt idx="0">
                  <c:v>Total Profit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'Category Analysis'!$A$3:$A$7</c:f>
              <c:strCache>
                <c:ptCount val="5"/>
                <c:pt idx="0">
                  <c:v>Groceries</c:v>
                </c:pt>
                <c:pt idx="1">
                  <c:v>Clothing</c:v>
                </c:pt>
                <c:pt idx="2">
                  <c:v>Sports</c:v>
                </c:pt>
                <c:pt idx="3">
                  <c:v>Furniture</c:v>
                </c:pt>
                <c:pt idx="4">
                  <c:v>Electronics</c:v>
                </c:pt>
              </c:strCache>
            </c:strRef>
          </c:cat>
          <c:val>
            <c:numRef>
              <c:f>'Category Analysis'!$C$3:$C$7</c:f>
              <c:numCache>
                <c:formatCode>\₹#,##0</c:formatCode>
                <c:ptCount val="5"/>
                <c:pt idx="0">
                  <c:v>3887393.23</c:v>
                </c:pt>
                <c:pt idx="1">
                  <c:v>3763317.02</c:v>
                </c:pt>
                <c:pt idx="2">
                  <c:v>3777232.92</c:v>
                </c:pt>
                <c:pt idx="3">
                  <c:v>3461089.88</c:v>
                </c:pt>
                <c:pt idx="4">
                  <c:v>3186195.91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 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Trend'!B2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Trend'!$A$3:$A$14</c:f>
              <c:strCache>
                <c:ptCount val="12"/>
                <c:pt idx="0">
                  <c:v>Jan 2023</c:v>
                </c:pt>
                <c:pt idx="1">
                  <c:v>Feb 2023</c:v>
                </c:pt>
                <c:pt idx="2">
                  <c:v>Mar 2023</c:v>
                </c:pt>
                <c:pt idx="3">
                  <c:v>Apr 2023</c:v>
                </c:pt>
                <c:pt idx="4">
                  <c:v>May 2023</c:v>
                </c:pt>
                <c:pt idx="5">
                  <c:v>Jun 2023</c:v>
                </c:pt>
                <c:pt idx="6">
                  <c:v>Jul 2023</c:v>
                </c:pt>
                <c:pt idx="7">
                  <c:v>Aug 2023</c:v>
                </c:pt>
                <c:pt idx="8">
                  <c:v>Sep 2023</c:v>
                </c:pt>
                <c:pt idx="9">
                  <c:v>Oct 2023</c:v>
                </c:pt>
                <c:pt idx="10">
                  <c:v>Nov 2023</c:v>
                </c:pt>
                <c:pt idx="11">
                  <c:v>Dec 2023</c:v>
                </c:pt>
              </c:strCache>
            </c:strRef>
          </c:cat>
          <c:val>
            <c:numRef>
              <c:f>'Monthly Trend'!$B$3:$B$14</c:f>
              <c:numCache>
                <c:formatCode>\₹#,##0</c:formatCode>
                <c:ptCount val="12"/>
                <c:pt idx="0">
                  <c:v>6289885</c:v>
                </c:pt>
                <c:pt idx="1">
                  <c:v>6838808</c:v>
                </c:pt>
                <c:pt idx="2">
                  <c:v>7535893</c:v>
                </c:pt>
                <c:pt idx="3">
                  <c:v>6863227</c:v>
                </c:pt>
                <c:pt idx="4">
                  <c:v>7103271</c:v>
                </c:pt>
                <c:pt idx="5">
                  <c:v>6411762</c:v>
                </c:pt>
                <c:pt idx="6">
                  <c:v>6376675</c:v>
                </c:pt>
                <c:pt idx="7">
                  <c:v>6330587</c:v>
                </c:pt>
                <c:pt idx="8">
                  <c:v>6496728</c:v>
                </c:pt>
                <c:pt idx="9">
                  <c:v>6543125</c:v>
                </c:pt>
                <c:pt idx="10">
                  <c:v>7161819</c:v>
                </c:pt>
                <c:pt idx="11">
                  <c:v>7481700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262728"/>
        <c:axId val="58359024"/>
      </c:lineChart>
      <c:catAx>
        <c:axId val="552627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59024"/>
        <c:crosses val="autoZero"/>
        <c:auto val="1"/>
        <c:lblAlgn val="ctr"/>
        <c:lblOffset val="100"/>
        <c:noMultiLvlLbl val="0"/>
      </c:catAx>
      <c:valAx>
        <c:axId val="58359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627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16</xdr:col>
      <xdr:colOff>364680</xdr:colOff>
      <xdr:row>22</xdr:row>
      <xdr:rowOff>157320</xdr:rowOff>
    </xdr:to>
    <xdr:graphicFrame>
      <xdr:nvGraphicFramePr>
        <xdr:cNvPr id="0" name="Chart 1"/>
        <xdr:cNvGraphicFramePr/>
      </xdr:nvGraphicFramePr>
      <xdr:xfrm>
        <a:off x="5686560" y="4381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256320</xdr:colOff>
      <xdr:row>22</xdr:row>
      <xdr:rowOff>157320</xdr:rowOff>
    </xdr:to>
    <xdr:graphicFrame>
      <xdr:nvGraphicFramePr>
        <xdr:cNvPr id="1" name="Chart 1"/>
        <xdr:cNvGraphicFramePr/>
      </xdr:nvGraphicFramePr>
      <xdr:xfrm>
        <a:off x="5686560" y="43812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16</xdr:col>
      <xdr:colOff>581400</xdr:colOff>
      <xdr:row>26</xdr:row>
      <xdr:rowOff>115200</xdr:rowOff>
    </xdr:to>
    <xdr:graphicFrame>
      <xdr:nvGraphicFramePr>
        <xdr:cNvPr id="2" name="Chart 1"/>
        <xdr:cNvGraphicFramePr/>
      </xdr:nvGraphicFramePr>
      <xdr:xfrm>
        <a:off x="3712680" y="43812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L24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10" min="9" style="0" width="2"/>
    <col collapsed="false" customWidth="true" hidden="false" outlineLevel="0" max="11" min="11" style="0" width="14"/>
    <col collapsed="false" customWidth="true" hidden="false" outlineLevel="0" max="13" min="12" style="0" width="2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9.7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21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B6" s="3" t="s">
        <v>2</v>
      </c>
      <c r="C6" s="3"/>
      <c r="E6" s="4" t="s">
        <v>3</v>
      </c>
      <c r="F6" s="4"/>
      <c r="H6" s="5" t="s">
        <v>4</v>
      </c>
      <c r="I6" s="5"/>
      <c r="K6" s="6" t="s">
        <v>5</v>
      </c>
      <c r="L6" s="6"/>
    </row>
    <row r="7" customFormat="false" ht="30" hidden="false" customHeight="true" outlineLevel="0" collapsed="false">
      <c r="B7" s="7" t="s">
        <v>6</v>
      </c>
      <c r="C7" s="7"/>
      <c r="E7" s="7" t="s">
        <v>7</v>
      </c>
      <c r="F7" s="7"/>
      <c r="H7" s="7" t="s">
        <v>8</v>
      </c>
      <c r="I7" s="7"/>
      <c r="K7" s="7" t="s">
        <v>9</v>
      </c>
      <c r="L7" s="7"/>
    </row>
    <row r="8" customFormat="false" ht="4.5" hidden="false" customHeight="true" outlineLevel="0" collapsed="false">
      <c r="B8" s="7"/>
      <c r="C8" s="7"/>
      <c r="E8" s="7"/>
      <c r="F8" s="7"/>
      <c r="H8" s="7"/>
      <c r="I8" s="7"/>
      <c r="K8" s="7"/>
      <c r="L8" s="7"/>
    </row>
    <row r="10" customFormat="false" ht="21.75" hidden="false" customHeight="true" outlineLevel="0" collapsed="false">
      <c r="B10" s="8" t="s">
        <v>10</v>
      </c>
      <c r="C10" s="8"/>
      <c r="D10" s="8"/>
      <c r="E10" s="8"/>
      <c r="F10" s="8"/>
      <c r="G10" s="8"/>
      <c r="H10" s="8"/>
      <c r="I10" s="8"/>
      <c r="J10" s="8"/>
      <c r="K10" s="8"/>
      <c r="L10" s="8"/>
    </row>
    <row r="11" customFormat="false" ht="21.75" hidden="false" customHeight="true" outlineLevel="0" collapsed="false">
      <c r="B11" s="9" t="s">
        <v>11</v>
      </c>
      <c r="C11" s="9" t="s">
        <v>12</v>
      </c>
      <c r="D11" s="9" t="s">
        <v>13</v>
      </c>
      <c r="E11" s="9" t="s">
        <v>14</v>
      </c>
      <c r="F11" s="9" t="s">
        <v>15</v>
      </c>
    </row>
    <row r="12" customFormat="false" ht="19.5" hidden="false" customHeight="true" outlineLevel="0" collapsed="false">
      <c r="B12" s="10" t="n">
        <v>1</v>
      </c>
      <c r="C12" s="10" t="s">
        <v>16</v>
      </c>
      <c r="D12" s="11" t="n">
        <v>16965827</v>
      </c>
      <c r="E12" s="11" t="n">
        <v>3537217</v>
      </c>
      <c r="F12" s="12" t="n">
        <v>0.208</v>
      </c>
    </row>
    <row r="13" customFormat="false" ht="19.5" hidden="false" customHeight="true" outlineLevel="0" collapsed="false">
      <c r="B13" s="13" t="n">
        <v>2</v>
      </c>
      <c r="C13" s="13" t="s">
        <v>17</v>
      </c>
      <c r="D13" s="14" t="n">
        <v>16759928</v>
      </c>
      <c r="E13" s="14" t="n">
        <v>3652173</v>
      </c>
      <c r="F13" s="15" t="n">
        <v>0.218</v>
      </c>
    </row>
    <row r="14" customFormat="false" ht="19.5" hidden="false" customHeight="true" outlineLevel="0" collapsed="false">
      <c r="B14" s="10" t="n">
        <v>3</v>
      </c>
      <c r="C14" s="10" t="s">
        <v>18</v>
      </c>
      <c r="D14" s="11" t="n">
        <v>16169503</v>
      </c>
      <c r="E14" s="11" t="n">
        <v>3812423</v>
      </c>
      <c r="F14" s="12" t="n">
        <v>0.236</v>
      </c>
    </row>
    <row r="15" customFormat="false" ht="19.5" hidden="false" customHeight="true" outlineLevel="0" collapsed="false">
      <c r="B15" s="13" t="n">
        <v>4</v>
      </c>
      <c r="C15" s="13" t="s">
        <v>19</v>
      </c>
      <c r="D15" s="14" t="n">
        <v>15940210</v>
      </c>
      <c r="E15" s="14" t="n">
        <v>3607658</v>
      </c>
      <c r="F15" s="15" t="n">
        <v>0.226</v>
      </c>
    </row>
    <row r="16" customFormat="false" ht="19.5" hidden="false" customHeight="true" outlineLevel="0" collapsed="false">
      <c r="B16" s="10" t="n">
        <v>5</v>
      </c>
      <c r="C16" s="10" t="s">
        <v>20</v>
      </c>
      <c r="D16" s="11" t="n">
        <v>15598012</v>
      </c>
      <c r="E16" s="11" t="n">
        <v>3465756</v>
      </c>
      <c r="F16" s="12" t="n">
        <v>0.222</v>
      </c>
    </row>
    <row r="18" customFormat="false" ht="21.75" hidden="false" customHeight="true" outlineLevel="0" collapsed="false">
      <c r="B18" s="8" t="s">
        <v>21</v>
      </c>
      <c r="C18" s="8"/>
      <c r="D18" s="8"/>
      <c r="E18" s="8"/>
      <c r="F18" s="8"/>
      <c r="G18" s="8"/>
      <c r="H18" s="8"/>
      <c r="I18" s="8"/>
      <c r="J18" s="8"/>
      <c r="K18" s="8"/>
      <c r="L18" s="8"/>
    </row>
    <row r="19" customFormat="false" ht="21.75" hidden="false" customHeight="true" outlineLevel="0" collapsed="false">
      <c r="B19" s="9" t="s">
        <v>11</v>
      </c>
      <c r="C19" s="9" t="s">
        <v>22</v>
      </c>
      <c r="D19" s="9" t="s">
        <v>13</v>
      </c>
      <c r="E19" s="9" t="s">
        <v>14</v>
      </c>
      <c r="F19" s="9" t="s">
        <v>23</v>
      </c>
    </row>
    <row r="20" customFormat="false" ht="19.5" hidden="false" customHeight="true" outlineLevel="0" collapsed="false">
      <c r="B20" s="10" t="n">
        <v>1</v>
      </c>
      <c r="C20" s="10" t="s">
        <v>24</v>
      </c>
      <c r="D20" s="11" t="n">
        <v>17407514</v>
      </c>
      <c r="E20" s="11" t="n">
        <v>3887393</v>
      </c>
      <c r="F20" s="16" t="n">
        <v>73090</v>
      </c>
    </row>
    <row r="21" customFormat="false" ht="19.5" hidden="false" customHeight="true" outlineLevel="0" collapsed="false">
      <c r="B21" s="13" t="n">
        <v>2</v>
      </c>
      <c r="C21" s="13" t="s">
        <v>25</v>
      </c>
      <c r="D21" s="14" t="n">
        <v>16921280</v>
      </c>
      <c r="E21" s="14" t="n">
        <v>3763317</v>
      </c>
      <c r="F21" s="17" t="n">
        <v>61490</v>
      </c>
    </row>
    <row r="22" customFormat="false" ht="19.5" hidden="false" customHeight="true" outlineLevel="0" collapsed="false">
      <c r="B22" s="10" t="n">
        <v>3</v>
      </c>
      <c r="C22" s="10" t="s">
        <v>26</v>
      </c>
      <c r="D22" s="11" t="n">
        <v>16720754</v>
      </c>
      <c r="E22" s="11" t="n">
        <v>3777232</v>
      </c>
      <c r="F22" s="16" t="n">
        <v>57691</v>
      </c>
    </row>
    <row r="23" customFormat="false" ht="19.5" hidden="false" customHeight="true" outlineLevel="0" collapsed="false">
      <c r="B23" s="13" t="n">
        <v>4</v>
      </c>
      <c r="C23" s="13" t="s">
        <v>27</v>
      </c>
      <c r="D23" s="14" t="n">
        <v>16610426</v>
      </c>
      <c r="E23" s="14" t="n">
        <v>3461089</v>
      </c>
      <c r="F23" s="17" t="n">
        <v>69817</v>
      </c>
    </row>
    <row r="24" customFormat="false" ht="19.5" hidden="false" customHeight="true" outlineLevel="0" collapsed="false">
      <c r="B24" s="10" t="n">
        <v>5</v>
      </c>
      <c r="C24" s="10" t="s">
        <v>28</v>
      </c>
      <c r="D24" s="11" t="n">
        <v>13773506</v>
      </c>
      <c r="E24" s="11" t="n">
        <v>3186195</v>
      </c>
      <c r="F24" s="16" t="n">
        <v>67653</v>
      </c>
    </row>
  </sheetData>
  <mergeCells count="12">
    <mergeCell ref="B2:L3"/>
    <mergeCell ref="B4:L4"/>
    <mergeCell ref="B6:C6"/>
    <mergeCell ref="E6:F6"/>
    <mergeCell ref="H6:I6"/>
    <mergeCell ref="K6:L6"/>
    <mergeCell ref="B7:C8"/>
    <mergeCell ref="E7:F8"/>
    <mergeCell ref="H7:I8"/>
    <mergeCell ref="K7:L8"/>
    <mergeCell ref="B10:L10"/>
    <mergeCell ref="B18:L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F301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8" t="s">
        <v>29</v>
      </c>
      <c r="B1" s="18" t="s">
        <v>12</v>
      </c>
      <c r="C1" s="18" t="s">
        <v>22</v>
      </c>
      <c r="D1" s="18" t="s">
        <v>13</v>
      </c>
      <c r="E1" s="18" t="s">
        <v>23</v>
      </c>
      <c r="F1" s="18" t="s">
        <v>14</v>
      </c>
    </row>
    <row r="2" customFormat="false" ht="15" hidden="false" customHeight="false" outlineLevel="0" collapsed="false">
      <c r="A2" s="19" t="s">
        <v>30</v>
      </c>
      <c r="B2" s="20" t="s">
        <v>18</v>
      </c>
      <c r="C2" s="20" t="s">
        <v>28</v>
      </c>
      <c r="D2" s="21" t="n">
        <v>171958</v>
      </c>
      <c r="E2" s="20" t="n">
        <v>1559</v>
      </c>
      <c r="F2" s="22" t="n">
        <v>58066.53</v>
      </c>
    </row>
    <row r="3" customFormat="false" ht="15" hidden="false" customHeight="false" outlineLevel="0" collapsed="false">
      <c r="A3" s="23" t="s">
        <v>30</v>
      </c>
      <c r="B3" s="24" t="s">
        <v>18</v>
      </c>
      <c r="C3" s="24" t="s">
        <v>25</v>
      </c>
      <c r="D3" s="25" t="n">
        <v>309178</v>
      </c>
      <c r="E3" s="24" t="n">
        <v>1195</v>
      </c>
      <c r="F3" s="26" t="n">
        <v>77190.81</v>
      </c>
    </row>
    <row r="4" customFormat="false" ht="15" hidden="false" customHeight="false" outlineLevel="0" collapsed="false">
      <c r="A4" s="19" t="s">
        <v>30</v>
      </c>
      <c r="B4" s="20" t="s">
        <v>18</v>
      </c>
      <c r="C4" s="20" t="s">
        <v>27</v>
      </c>
      <c r="D4" s="21" t="n">
        <v>104886</v>
      </c>
      <c r="E4" s="20" t="n">
        <v>221</v>
      </c>
      <c r="F4" s="22" t="n">
        <v>14579.01</v>
      </c>
    </row>
    <row r="5" customFormat="false" ht="15" hidden="false" customHeight="false" outlineLevel="0" collapsed="false">
      <c r="A5" s="23" t="s">
        <v>30</v>
      </c>
      <c r="B5" s="24" t="s">
        <v>18</v>
      </c>
      <c r="C5" s="24" t="s">
        <v>24</v>
      </c>
      <c r="D5" s="25" t="n">
        <v>480410</v>
      </c>
      <c r="E5" s="24" t="n">
        <v>1582</v>
      </c>
      <c r="F5" s="26" t="n">
        <v>152070.92</v>
      </c>
    </row>
    <row r="6" customFormat="false" ht="15" hidden="false" customHeight="false" outlineLevel="0" collapsed="false">
      <c r="A6" s="19" t="s">
        <v>30</v>
      </c>
      <c r="B6" s="20" t="s">
        <v>18</v>
      </c>
      <c r="C6" s="20" t="s">
        <v>26</v>
      </c>
      <c r="D6" s="21" t="n">
        <v>225203</v>
      </c>
      <c r="E6" s="20" t="n">
        <v>971</v>
      </c>
      <c r="F6" s="22" t="n">
        <v>62385.32</v>
      </c>
    </row>
    <row r="7" customFormat="false" ht="15" hidden="false" customHeight="false" outlineLevel="0" collapsed="false">
      <c r="A7" s="23" t="s">
        <v>30</v>
      </c>
      <c r="B7" s="24" t="s">
        <v>31</v>
      </c>
      <c r="C7" s="24" t="s">
        <v>28</v>
      </c>
      <c r="D7" s="25" t="n">
        <v>379365</v>
      </c>
      <c r="E7" s="24" t="n">
        <v>1432</v>
      </c>
      <c r="F7" s="26" t="n">
        <v>129923.96</v>
      </c>
    </row>
    <row r="8" customFormat="false" ht="15" hidden="false" customHeight="false" outlineLevel="0" collapsed="false">
      <c r="A8" s="19" t="s">
        <v>30</v>
      </c>
      <c r="B8" s="20" t="s">
        <v>31</v>
      </c>
      <c r="C8" s="20" t="s">
        <v>25</v>
      </c>
      <c r="D8" s="21" t="n">
        <v>244027</v>
      </c>
      <c r="E8" s="20" t="n">
        <v>1537</v>
      </c>
      <c r="F8" s="22" t="n">
        <v>37356.82</v>
      </c>
    </row>
    <row r="9" customFormat="false" ht="15" hidden="false" customHeight="false" outlineLevel="0" collapsed="false">
      <c r="A9" s="23" t="s">
        <v>30</v>
      </c>
      <c r="B9" s="24" t="s">
        <v>31</v>
      </c>
      <c r="C9" s="24" t="s">
        <v>27</v>
      </c>
      <c r="D9" s="25" t="n">
        <v>317455</v>
      </c>
      <c r="E9" s="24" t="n">
        <v>1055</v>
      </c>
      <c r="F9" s="26" t="n">
        <v>46301.17</v>
      </c>
    </row>
    <row r="10" customFormat="false" ht="15" hidden="false" customHeight="false" outlineLevel="0" collapsed="false">
      <c r="A10" s="19" t="s">
        <v>30</v>
      </c>
      <c r="B10" s="20" t="s">
        <v>31</v>
      </c>
      <c r="C10" s="20" t="s">
        <v>24</v>
      </c>
      <c r="D10" s="21" t="n">
        <v>234779</v>
      </c>
      <c r="E10" s="20" t="n">
        <v>1437</v>
      </c>
      <c r="F10" s="22" t="n">
        <v>54278.35</v>
      </c>
    </row>
    <row r="11" customFormat="false" ht="15" hidden="false" customHeight="false" outlineLevel="0" collapsed="false">
      <c r="A11" s="23" t="s">
        <v>30</v>
      </c>
      <c r="B11" s="24" t="s">
        <v>31</v>
      </c>
      <c r="C11" s="24" t="s">
        <v>26</v>
      </c>
      <c r="D11" s="25" t="n">
        <v>308795</v>
      </c>
      <c r="E11" s="24" t="n">
        <v>956</v>
      </c>
      <c r="F11" s="26" t="n">
        <v>53362.03</v>
      </c>
    </row>
    <row r="12" customFormat="false" ht="15" hidden="false" customHeight="false" outlineLevel="0" collapsed="false">
      <c r="A12" s="19" t="s">
        <v>30</v>
      </c>
      <c r="B12" s="20" t="s">
        <v>20</v>
      </c>
      <c r="C12" s="20" t="s">
        <v>28</v>
      </c>
      <c r="D12" s="21" t="n">
        <v>206730</v>
      </c>
      <c r="E12" s="20" t="n">
        <v>610</v>
      </c>
      <c r="F12" s="22" t="n">
        <v>27882.39</v>
      </c>
    </row>
    <row r="13" customFormat="false" ht="15" hidden="false" customHeight="false" outlineLevel="0" collapsed="false">
      <c r="A13" s="23" t="s">
        <v>30</v>
      </c>
      <c r="B13" s="24" t="s">
        <v>20</v>
      </c>
      <c r="C13" s="24" t="s">
        <v>25</v>
      </c>
      <c r="D13" s="25" t="n">
        <v>180523</v>
      </c>
      <c r="E13" s="24" t="n">
        <v>799</v>
      </c>
      <c r="F13" s="26" t="n">
        <v>34586.48</v>
      </c>
    </row>
    <row r="14" customFormat="false" ht="15" hidden="false" customHeight="false" outlineLevel="0" collapsed="false">
      <c r="A14" s="19" t="s">
        <v>30</v>
      </c>
      <c r="B14" s="20" t="s">
        <v>20</v>
      </c>
      <c r="C14" s="20" t="s">
        <v>27</v>
      </c>
      <c r="D14" s="21" t="n">
        <v>115725</v>
      </c>
      <c r="E14" s="20" t="n">
        <v>1057</v>
      </c>
      <c r="F14" s="22" t="n">
        <v>34288.62</v>
      </c>
    </row>
    <row r="15" customFormat="false" ht="15" hidden="false" customHeight="false" outlineLevel="0" collapsed="false">
      <c r="A15" s="23" t="s">
        <v>30</v>
      </c>
      <c r="B15" s="24" t="s">
        <v>20</v>
      </c>
      <c r="C15" s="24" t="s">
        <v>24</v>
      </c>
      <c r="D15" s="25" t="n">
        <v>431490</v>
      </c>
      <c r="E15" s="24" t="n">
        <v>1999</v>
      </c>
      <c r="F15" s="26" t="n">
        <v>98620.75</v>
      </c>
    </row>
    <row r="16" customFormat="false" ht="15" hidden="false" customHeight="false" outlineLevel="0" collapsed="false">
      <c r="A16" s="19" t="s">
        <v>30</v>
      </c>
      <c r="B16" s="20" t="s">
        <v>20</v>
      </c>
      <c r="C16" s="20" t="s">
        <v>26</v>
      </c>
      <c r="D16" s="21" t="n">
        <v>81551</v>
      </c>
      <c r="E16" s="20" t="n">
        <v>1628</v>
      </c>
      <c r="F16" s="22" t="n">
        <v>9102.12</v>
      </c>
    </row>
    <row r="17" customFormat="false" ht="15" hidden="false" customHeight="false" outlineLevel="0" collapsed="false">
      <c r="A17" s="23" t="s">
        <v>30</v>
      </c>
      <c r="B17" s="24" t="s">
        <v>17</v>
      </c>
      <c r="C17" s="24" t="s">
        <v>28</v>
      </c>
      <c r="D17" s="25" t="n">
        <v>53890</v>
      </c>
      <c r="E17" s="24" t="n">
        <v>746</v>
      </c>
      <c r="F17" s="26" t="n">
        <v>7686.39</v>
      </c>
    </row>
    <row r="18" customFormat="false" ht="15" hidden="false" customHeight="false" outlineLevel="0" collapsed="false">
      <c r="A18" s="19" t="s">
        <v>30</v>
      </c>
      <c r="B18" s="20" t="s">
        <v>17</v>
      </c>
      <c r="C18" s="20" t="s">
        <v>25</v>
      </c>
      <c r="D18" s="21" t="n">
        <v>399457</v>
      </c>
      <c r="E18" s="20" t="n">
        <v>487</v>
      </c>
      <c r="F18" s="22" t="n">
        <v>134037.97</v>
      </c>
    </row>
    <row r="19" customFormat="false" ht="15" hidden="false" customHeight="false" outlineLevel="0" collapsed="false">
      <c r="A19" s="23" t="s">
        <v>30</v>
      </c>
      <c r="B19" s="24" t="s">
        <v>17</v>
      </c>
      <c r="C19" s="24" t="s">
        <v>27</v>
      </c>
      <c r="D19" s="25" t="n">
        <v>289629</v>
      </c>
      <c r="E19" s="24" t="n">
        <v>341</v>
      </c>
      <c r="F19" s="26" t="n">
        <v>56869.85</v>
      </c>
    </row>
    <row r="20" customFormat="false" ht="15" hidden="false" customHeight="false" outlineLevel="0" collapsed="false">
      <c r="A20" s="19" t="s">
        <v>30</v>
      </c>
      <c r="B20" s="20" t="s">
        <v>17</v>
      </c>
      <c r="C20" s="20" t="s">
        <v>24</v>
      </c>
      <c r="D20" s="21" t="n">
        <v>467113</v>
      </c>
      <c r="E20" s="20" t="n">
        <v>664</v>
      </c>
      <c r="F20" s="22" t="n">
        <v>73674.68</v>
      </c>
    </row>
    <row r="21" customFormat="false" ht="15" hidden="false" customHeight="false" outlineLevel="0" collapsed="false">
      <c r="A21" s="23" t="s">
        <v>30</v>
      </c>
      <c r="B21" s="24" t="s">
        <v>17</v>
      </c>
      <c r="C21" s="24" t="s">
        <v>26</v>
      </c>
      <c r="D21" s="25" t="n">
        <v>301995</v>
      </c>
      <c r="E21" s="24" t="n">
        <v>1490</v>
      </c>
      <c r="F21" s="26" t="n">
        <v>81785.04</v>
      </c>
    </row>
    <row r="22" customFormat="false" ht="15" hidden="false" customHeight="false" outlineLevel="0" collapsed="false">
      <c r="A22" s="19" t="s">
        <v>30</v>
      </c>
      <c r="B22" s="20" t="s">
        <v>19</v>
      </c>
      <c r="C22" s="20" t="s">
        <v>28</v>
      </c>
      <c r="D22" s="21" t="n">
        <v>98555</v>
      </c>
      <c r="E22" s="20" t="n">
        <v>608</v>
      </c>
      <c r="F22" s="22" t="n">
        <v>30384.38</v>
      </c>
    </row>
    <row r="23" customFormat="false" ht="15" hidden="false" customHeight="false" outlineLevel="0" collapsed="false">
      <c r="A23" s="23" t="s">
        <v>30</v>
      </c>
      <c r="B23" s="24" t="s">
        <v>19</v>
      </c>
      <c r="C23" s="24" t="s">
        <v>25</v>
      </c>
      <c r="D23" s="25" t="n">
        <v>156530</v>
      </c>
      <c r="E23" s="24" t="n">
        <v>305</v>
      </c>
      <c r="F23" s="26" t="n">
        <v>30956.18</v>
      </c>
    </row>
    <row r="24" customFormat="false" ht="15" hidden="false" customHeight="false" outlineLevel="0" collapsed="false">
      <c r="A24" s="19" t="s">
        <v>30</v>
      </c>
      <c r="B24" s="20" t="s">
        <v>19</v>
      </c>
      <c r="C24" s="20" t="s">
        <v>27</v>
      </c>
      <c r="D24" s="21" t="n">
        <v>250551</v>
      </c>
      <c r="E24" s="20" t="n">
        <v>1511</v>
      </c>
      <c r="F24" s="22" t="n">
        <v>44579.98</v>
      </c>
    </row>
    <row r="25" customFormat="false" ht="15" hidden="false" customHeight="false" outlineLevel="0" collapsed="false">
      <c r="A25" s="23" t="s">
        <v>30</v>
      </c>
      <c r="B25" s="24" t="s">
        <v>19</v>
      </c>
      <c r="C25" s="24" t="s">
        <v>24</v>
      </c>
      <c r="D25" s="25" t="n">
        <v>258261</v>
      </c>
      <c r="E25" s="24" t="n">
        <v>665</v>
      </c>
      <c r="F25" s="26" t="n">
        <v>61124.59</v>
      </c>
    </row>
    <row r="26" customFormat="false" ht="15" hidden="false" customHeight="false" outlineLevel="0" collapsed="false">
      <c r="A26" s="19" t="s">
        <v>30</v>
      </c>
      <c r="B26" s="20" t="s">
        <v>19</v>
      </c>
      <c r="C26" s="20" t="s">
        <v>26</v>
      </c>
      <c r="D26" s="21" t="n">
        <v>221829</v>
      </c>
      <c r="E26" s="20" t="n">
        <v>1600</v>
      </c>
      <c r="F26" s="22" t="n">
        <v>75953.4</v>
      </c>
    </row>
    <row r="27" customFormat="false" ht="15" hidden="false" customHeight="false" outlineLevel="0" collapsed="false">
      <c r="A27" s="23" t="s">
        <v>32</v>
      </c>
      <c r="B27" s="24" t="s">
        <v>18</v>
      </c>
      <c r="C27" s="24" t="s">
        <v>28</v>
      </c>
      <c r="D27" s="25" t="n">
        <v>252283</v>
      </c>
      <c r="E27" s="24" t="n">
        <v>261</v>
      </c>
      <c r="F27" s="26" t="n">
        <v>50150.72</v>
      </c>
    </row>
    <row r="28" customFormat="false" ht="15" hidden="false" customHeight="false" outlineLevel="0" collapsed="false">
      <c r="A28" s="19" t="s">
        <v>32</v>
      </c>
      <c r="B28" s="20" t="s">
        <v>18</v>
      </c>
      <c r="C28" s="20" t="s">
        <v>25</v>
      </c>
      <c r="D28" s="21" t="n">
        <v>149299</v>
      </c>
      <c r="E28" s="20" t="n">
        <v>369</v>
      </c>
      <c r="F28" s="22" t="n">
        <v>42075.15</v>
      </c>
    </row>
    <row r="29" customFormat="false" ht="15" hidden="false" customHeight="false" outlineLevel="0" collapsed="false">
      <c r="A29" s="23" t="s">
        <v>32</v>
      </c>
      <c r="B29" s="24" t="s">
        <v>18</v>
      </c>
      <c r="C29" s="24" t="s">
        <v>27</v>
      </c>
      <c r="D29" s="25" t="n">
        <v>61534</v>
      </c>
      <c r="E29" s="24" t="n">
        <v>555</v>
      </c>
      <c r="F29" s="26" t="n">
        <v>14928.82</v>
      </c>
    </row>
    <row r="30" customFormat="false" ht="15" hidden="false" customHeight="false" outlineLevel="0" collapsed="false">
      <c r="A30" s="19" t="s">
        <v>32</v>
      </c>
      <c r="B30" s="20" t="s">
        <v>18</v>
      </c>
      <c r="C30" s="20" t="s">
        <v>24</v>
      </c>
      <c r="D30" s="21" t="n">
        <v>403531</v>
      </c>
      <c r="E30" s="20" t="n">
        <v>1116</v>
      </c>
      <c r="F30" s="22" t="n">
        <v>137318.78</v>
      </c>
    </row>
    <row r="31" customFormat="false" ht="15" hidden="false" customHeight="false" outlineLevel="0" collapsed="false">
      <c r="A31" s="23" t="s">
        <v>32</v>
      </c>
      <c r="B31" s="24" t="s">
        <v>18</v>
      </c>
      <c r="C31" s="24" t="s">
        <v>26</v>
      </c>
      <c r="D31" s="25" t="n">
        <v>270884</v>
      </c>
      <c r="E31" s="24" t="n">
        <v>819</v>
      </c>
      <c r="F31" s="26" t="n">
        <v>77697.67</v>
      </c>
    </row>
    <row r="32" customFormat="false" ht="15" hidden="false" customHeight="false" outlineLevel="0" collapsed="false">
      <c r="A32" s="19" t="s">
        <v>32</v>
      </c>
      <c r="B32" s="20" t="s">
        <v>31</v>
      </c>
      <c r="C32" s="20" t="s">
        <v>28</v>
      </c>
      <c r="D32" s="21" t="n">
        <v>132798</v>
      </c>
      <c r="E32" s="20" t="n">
        <v>1176</v>
      </c>
      <c r="F32" s="22" t="n">
        <v>32759.65</v>
      </c>
    </row>
    <row r="33" customFormat="false" ht="15" hidden="false" customHeight="false" outlineLevel="0" collapsed="false">
      <c r="A33" s="23" t="s">
        <v>32</v>
      </c>
      <c r="B33" s="24" t="s">
        <v>31</v>
      </c>
      <c r="C33" s="24" t="s">
        <v>25</v>
      </c>
      <c r="D33" s="25" t="n">
        <v>244776</v>
      </c>
      <c r="E33" s="24" t="n">
        <v>863</v>
      </c>
      <c r="F33" s="26" t="n">
        <v>61624.45</v>
      </c>
    </row>
    <row r="34" customFormat="false" ht="15" hidden="false" customHeight="false" outlineLevel="0" collapsed="false">
      <c r="A34" s="19" t="s">
        <v>32</v>
      </c>
      <c r="B34" s="20" t="s">
        <v>31</v>
      </c>
      <c r="C34" s="20" t="s">
        <v>27</v>
      </c>
      <c r="D34" s="21" t="n">
        <v>286584</v>
      </c>
      <c r="E34" s="20" t="n">
        <v>1280</v>
      </c>
      <c r="F34" s="22" t="n">
        <v>86132.6</v>
      </c>
    </row>
    <row r="35" customFormat="false" ht="15" hidden="false" customHeight="false" outlineLevel="0" collapsed="false">
      <c r="A35" s="23" t="s">
        <v>32</v>
      </c>
      <c r="B35" s="24" t="s">
        <v>31</v>
      </c>
      <c r="C35" s="24" t="s">
        <v>24</v>
      </c>
      <c r="D35" s="25" t="n">
        <v>426896</v>
      </c>
      <c r="E35" s="24" t="n">
        <v>1980</v>
      </c>
      <c r="F35" s="26" t="n">
        <v>148014.12</v>
      </c>
    </row>
    <row r="36" customFormat="false" ht="15" hidden="false" customHeight="false" outlineLevel="0" collapsed="false">
      <c r="A36" s="19" t="s">
        <v>32</v>
      </c>
      <c r="B36" s="20" t="s">
        <v>31</v>
      </c>
      <c r="C36" s="20" t="s">
        <v>26</v>
      </c>
      <c r="D36" s="21" t="n">
        <v>170151</v>
      </c>
      <c r="E36" s="20" t="n">
        <v>1252</v>
      </c>
      <c r="F36" s="22" t="n">
        <v>25468.02</v>
      </c>
    </row>
    <row r="37" customFormat="false" ht="15" hidden="false" customHeight="false" outlineLevel="0" collapsed="false">
      <c r="A37" s="23" t="s">
        <v>32</v>
      </c>
      <c r="B37" s="24" t="s">
        <v>20</v>
      </c>
      <c r="C37" s="24" t="s">
        <v>28</v>
      </c>
      <c r="D37" s="25" t="n">
        <v>174375</v>
      </c>
      <c r="E37" s="24" t="n">
        <v>1186</v>
      </c>
      <c r="F37" s="26" t="n">
        <v>52986.52</v>
      </c>
    </row>
    <row r="38" customFormat="false" ht="15" hidden="false" customHeight="false" outlineLevel="0" collapsed="false">
      <c r="A38" s="19" t="s">
        <v>32</v>
      </c>
      <c r="B38" s="20" t="s">
        <v>20</v>
      </c>
      <c r="C38" s="20" t="s">
        <v>25</v>
      </c>
      <c r="D38" s="21" t="n">
        <v>351648</v>
      </c>
      <c r="E38" s="20" t="n">
        <v>491</v>
      </c>
      <c r="F38" s="22" t="n">
        <v>99253.28</v>
      </c>
    </row>
    <row r="39" customFormat="false" ht="15" hidden="false" customHeight="false" outlineLevel="0" collapsed="false">
      <c r="A39" s="23" t="s">
        <v>32</v>
      </c>
      <c r="B39" s="24" t="s">
        <v>20</v>
      </c>
      <c r="C39" s="24" t="s">
        <v>27</v>
      </c>
      <c r="D39" s="25" t="n">
        <v>179312</v>
      </c>
      <c r="E39" s="24" t="n">
        <v>478</v>
      </c>
      <c r="F39" s="26" t="n">
        <v>21250.47</v>
      </c>
    </row>
    <row r="40" customFormat="false" ht="15" hidden="false" customHeight="false" outlineLevel="0" collapsed="false">
      <c r="A40" s="19" t="s">
        <v>32</v>
      </c>
      <c r="B40" s="20" t="s">
        <v>20</v>
      </c>
      <c r="C40" s="20" t="s">
        <v>24</v>
      </c>
      <c r="D40" s="21" t="n">
        <v>338998</v>
      </c>
      <c r="E40" s="20" t="n">
        <v>1117</v>
      </c>
      <c r="F40" s="22" t="n">
        <v>43719.64</v>
      </c>
    </row>
    <row r="41" customFormat="false" ht="15" hidden="false" customHeight="false" outlineLevel="0" collapsed="false">
      <c r="A41" s="23" t="s">
        <v>32</v>
      </c>
      <c r="B41" s="24" t="s">
        <v>20</v>
      </c>
      <c r="C41" s="24" t="s">
        <v>26</v>
      </c>
      <c r="D41" s="25" t="n">
        <v>334806</v>
      </c>
      <c r="E41" s="24" t="n">
        <v>300</v>
      </c>
      <c r="F41" s="26" t="n">
        <v>85651.59</v>
      </c>
    </row>
    <row r="42" customFormat="false" ht="15" hidden="false" customHeight="false" outlineLevel="0" collapsed="false">
      <c r="A42" s="19" t="s">
        <v>32</v>
      </c>
      <c r="B42" s="20" t="s">
        <v>17</v>
      </c>
      <c r="C42" s="20" t="s">
        <v>28</v>
      </c>
      <c r="D42" s="21" t="n">
        <v>425713</v>
      </c>
      <c r="E42" s="20" t="n">
        <v>1156</v>
      </c>
      <c r="F42" s="22" t="n">
        <v>49335.7</v>
      </c>
    </row>
    <row r="43" customFormat="false" ht="15" hidden="false" customHeight="false" outlineLevel="0" collapsed="false">
      <c r="A43" s="23" t="s">
        <v>32</v>
      </c>
      <c r="B43" s="24" t="s">
        <v>17</v>
      </c>
      <c r="C43" s="24" t="s">
        <v>25</v>
      </c>
      <c r="D43" s="25" t="n">
        <v>347366</v>
      </c>
      <c r="E43" s="24" t="n">
        <v>1697</v>
      </c>
      <c r="F43" s="26" t="n">
        <v>62976.01</v>
      </c>
    </row>
    <row r="44" customFormat="false" ht="15" hidden="false" customHeight="false" outlineLevel="0" collapsed="false">
      <c r="A44" s="19" t="s">
        <v>32</v>
      </c>
      <c r="B44" s="20" t="s">
        <v>17</v>
      </c>
      <c r="C44" s="20" t="s">
        <v>27</v>
      </c>
      <c r="D44" s="21" t="n">
        <v>323109</v>
      </c>
      <c r="E44" s="20" t="n">
        <v>1670</v>
      </c>
      <c r="F44" s="22" t="n">
        <v>70455.12</v>
      </c>
    </row>
    <row r="45" customFormat="false" ht="15" hidden="false" customHeight="false" outlineLevel="0" collapsed="false">
      <c r="A45" s="23" t="s">
        <v>32</v>
      </c>
      <c r="B45" s="24" t="s">
        <v>17</v>
      </c>
      <c r="C45" s="24" t="s">
        <v>24</v>
      </c>
      <c r="D45" s="25" t="n">
        <v>425396</v>
      </c>
      <c r="E45" s="24" t="n">
        <v>1585</v>
      </c>
      <c r="F45" s="26" t="n">
        <v>132820.74</v>
      </c>
    </row>
    <row r="46" customFormat="false" ht="15" hidden="false" customHeight="false" outlineLevel="0" collapsed="false">
      <c r="A46" s="19" t="s">
        <v>32</v>
      </c>
      <c r="B46" s="20" t="s">
        <v>17</v>
      </c>
      <c r="C46" s="20" t="s">
        <v>26</v>
      </c>
      <c r="D46" s="21" t="n">
        <v>264020</v>
      </c>
      <c r="E46" s="20" t="n">
        <v>1341</v>
      </c>
      <c r="F46" s="22" t="n">
        <v>41978.18</v>
      </c>
    </row>
    <row r="47" customFormat="false" ht="15" hidden="false" customHeight="false" outlineLevel="0" collapsed="false">
      <c r="A47" s="23" t="s">
        <v>32</v>
      </c>
      <c r="B47" s="24" t="s">
        <v>19</v>
      </c>
      <c r="C47" s="24" t="s">
        <v>28</v>
      </c>
      <c r="D47" s="25" t="n">
        <v>423133</v>
      </c>
      <c r="E47" s="24" t="n">
        <v>970</v>
      </c>
      <c r="F47" s="26" t="n">
        <v>46590.5</v>
      </c>
    </row>
    <row r="48" customFormat="false" ht="15" hidden="false" customHeight="false" outlineLevel="0" collapsed="false">
      <c r="A48" s="19" t="s">
        <v>32</v>
      </c>
      <c r="B48" s="20" t="s">
        <v>19</v>
      </c>
      <c r="C48" s="20" t="s">
        <v>25</v>
      </c>
      <c r="D48" s="21" t="n">
        <v>443422</v>
      </c>
      <c r="E48" s="20" t="n">
        <v>1138</v>
      </c>
      <c r="F48" s="22" t="n">
        <v>56635.06</v>
      </c>
    </row>
    <row r="49" customFormat="false" ht="15" hidden="false" customHeight="false" outlineLevel="0" collapsed="false">
      <c r="A49" s="23" t="s">
        <v>32</v>
      </c>
      <c r="B49" s="24" t="s">
        <v>19</v>
      </c>
      <c r="C49" s="24" t="s">
        <v>27</v>
      </c>
      <c r="D49" s="25" t="n">
        <v>73419</v>
      </c>
      <c r="E49" s="24" t="n">
        <v>1584</v>
      </c>
      <c r="F49" s="26" t="n">
        <v>11044.41</v>
      </c>
    </row>
    <row r="50" customFormat="false" ht="15" hidden="false" customHeight="false" outlineLevel="0" collapsed="false">
      <c r="A50" s="19" t="s">
        <v>32</v>
      </c>
      <c r="B50" s="20" t="s">
        <v>19</v>
      </c>
      <c r="C50" s="20" t="s">
        <v>24</v>
      </c>
      <c r="D50" s="21" t="n">
        <v>100015</v>
      </c>
      <c r="E50" s="20" t="n">
        <v>842</v>
      </c>
      <c r="F50" s="22" t="n">
        <v>21887.54</v>
      </c>
    </row>
    <row r="51" customFormat="false" ht="15" hidden="false" customHeight="false" outlineLevel="0" collapsed="false">
      <c r="A51" s="23" t="s">
        <v>32</v>
      </c>
      <c r="B51" s="24" t="s">
        <v>19</v>
      </c>
      <c r="C51" s="24" t="s">
        <v>26</v>
      </c>
      <c r="D51" s="25" t="n">
        <v>235340</v>
      </c>
      <c r="E51" s="24" t="n">
        <v>195</v>
      </c>
      <c r="F51" s="26" t="n">
        <v>64454.69</v>
      </c>
    </row>
    <row r="52" customFormat="false" ht="15" hidden="false" customHeight="false" outlineLevel="0" collapsed="false">
      <c r="A52" s="19" t="s">
        <v>33</v>
      </c>
      <c r="B52" s="20" t="s">
        <v>18</v>
      </c>
      <c r="C52" s="20" t="s">
        <v>28</v>
      </c>
      <c r="D52" s="21" t="n">
        <v>261428</v>
      </c>
      <c r="E52" s="20" t="n">
        <v>1530</v>
      </c>
      <c r="F52" s="22" t="n">
        <v>65645.71</v>
      </c>
    </row>
    <row r="53" customFormat="false" ht="15" hidden="false" customHeight="false" outlineLevel="0" collapsed="false">
      <c r="A53" s="23" t="s">
        <v>33</v>
      </c>
      <c r="B53" s="24" t="s">
        <v>18</v>
      </c>
      <c r="C53" s="24" t="s">
        <v>25</v>
      </c>
      <c r="D53" s="25" t="n">
        <v>248286</v>
      </c>
      <c r="E53" s="24" t="n">
        <v>1294</v>
      </c>
      <c r="F53" s="26" t="n">
        <v>37432.91</v>
      </c>
    </row>
    <row r="54" customFormat="false" ht="15" hidden="false" customHeight="false" outlineLevel="0" collapsed="false">
      <c r="A54" s="19" t="s">
        <v>33</v>
      </c>
      <c r="B54" s="20" t="s">
        <v>18</v>
      </c>
      <c r="C54" s="20" t="s">
        <v>27</v>
      </c>
      <c r="D54" s="21" t="n">
        <v>499036</v>
      </c>
      <c r="E54" s="20" t="n">
        <v>1283</v>
      </c>
      <c r="F54" s="22" t="n">
        <v>124617.46</v>
      </c>
    </row>
    <row r="55" customFormat="false" ht="15" hidden="false" customHeight="false" outlineLevel="0" collapsed="false">
      <c r="A55" s="23" t="s">
        <v>33</v>
      </c>
      <c r="B55" s="24" t="s">
        <v>18</v>
      </c>
      <c r="C55" s="24" t="s">
        <v>24</v>
      </c>
      <c r="D55" s="25" t="n">
        <v>405570</v>
      </c>
      <c r="E55" s="24" t="n">
        <v>1209</v>
      </c>
      <c r="F55" s="26" t="n">
        <v>129829.84</v>
      </c>
    </row>
    <row r="56" customFormat="false" ht="15" hidden="false" customHeight="false" outlineLevel="0" collapsed="false">
      <c r="A56" s="19" t="s">
        <v>33</v>
      </c>
      <c r="B56" s="20" t="s">
        <v>18</v>
      </c>
      <c r="C56" s="20" t="s">
        <v>26</v>
      </c>
      <c r="D56" s="21" t="n">
        <v>421369</v>
      </c>
      <c r="E56" s="20" t="n">
        <v>656</v>
      </c>
      <c r="F56" s="22" t="n">
        <v>73279.62</v>
      </c>
    </row>
    <row r="57" customFormat="false" ht="15" hidden="false" customHeight="false" outlineLevel="0" collapsed="false">
      <c r="A57" s="23" t="s">
        <v>33</v>
      </c>
      <c r="B57" s="24" t="s">
        <v>31</v>
      </c>
      <c r="C57" s="24" t="s">
        <v>28</v>
      </c>
      <c r="D57" s="25" t="n">
        <v>159556</v>
      </c>
      <c r="E57" s="24" t="n">
        <v>745</v>
      </c>
      <c r="F57" s="26" t="n">
        <v>34166.31</v>
      </c>
    </row>
    <row r="58" customFormat="false" ht="15" hidden="false" customHeight="false" outlineLevel="0" collapsed="false">
      <c r="A58" s="19" t="s">
        <v>33</v>
      </c>
      <c r="B58" s="20" t="s">
        <v>31</v>
      </c>
      <c r="C58" s="20" t="s">
        <v>25</v>
      </c>
      <c r="D58" s="21" t="n">
        <v>293307</v>
      </c>
      <c r="E58" s="20" t="n">
        <v>1679</v>
      </c>
      <c r="F58" s="22" t="n">
        <v>59872.02</v>
      </c>
    </row>
    <row r="59" customFormat="false" ht="15" hidden="false" customHeight="false" outlineLevel="0" collapsed="false">
      <c r="A59" s="23" t="s">
        <v>33</v>
      </c>
      <c r="B59" s="24" t="s">
        <v>31</v>
      </c>
      <c r="C59" s="24" t="s">
        <v>27</v>
      </c>
      <c r="D59" s="25" t="n">
        <v>486157</v>
      </c>
      <c r="E59" s="24" t="n">
        <v>1454</v>
      </c>
      <c r="F59" s="26" t="n">
        <v>88036.35</v>
      </c>
    </row>
    <row r="60" customFormat="false" ht="15" hidden="false" customHeight="false" outlineLevel="0" collapsed="false">
      <c r="A60" s="19" t="s">
        <v>33</v>
      </c>
      <c r="B60" s="20" t="s">
        <v>31</v>
      </c>
      <c r="C60" s="20" t="s">
        <v>24</v>
      </c>
      <c r="D60" s="21" t="n">
        <v>125766</v>
      </c>
      <c r="E60" s="20" t="n">
        <v>1471</v>
      </c>
      <c r="F60" s="22" t="n">
        <v>23779.14</v>
      </c>
    </row>
    <row r="61" customFormat="false" ht="15" hidden="false" customHeight="false" outlineLevel="0" collapsed="false">
      <c r="A61" s="23" t="s">
        <v>33</v>
      </c>
      <c r="B61" s="24" t="s">
        <v>31</v>
      </c>
      <c r="C61" s="24" t="s">
        <v>26</v>
      </c>
      <c r="D61" s="25" t="n">
        <v>437261</v>
      </c>
      <c r="E61" s="24" t="n">
        <v>1348</v>
      </c>
      <c r="F61" s="26" t="n">
        <v>73474.3</v>
      </c>
    </row>
    <row r="62" customFormat="false" ht="15" hidden="false" customHeight="false" outlineLevel="0" collapsed="false">
      <c r="A62" s="19" t="s">
        <v>33</v>
      </c>
      <c r="B62" s="20" t="s">
        <v>20</v>
      </c>
      <c r="C62" s="20" t="s">
        <v>28</v>
      </c>
      <c r="D62" s="21" t="n">
        <v>187848</v>
      </c>
      <c r="E62" s="20" t="n">
        <v>727</v>
      </c>
      <c r="F62" s="22" t="n">
        <v>35342.14</v>
      </c>
    </row>
    <row r="63" customFormat="false" ht="15" hidden="false" customHeight="false" outlineLevel="0" collapsed="false">
      <c r="A63" s="23" t="s">
        <v>33</v>
      </c>
      <c r="B63" s="24" t="s">
        <v>20</v>
      </c>
      <c r="C63" s="24" t="s">
        <v>25</v>
      </c>
      <c r="D63" s="25" t="n">
        <v>452690</v>
      </c>
      <c r="E63" s="24" t="n">
        <v>1482</v>
      </c>
      <c r="F63" s="26" t="n">
        <v>63903.51</v>
      </c>
    </row>
    <row r="64" customFormat="false" ht="15" hidden="false" customHeight="false" outlineLevel="0" collapsed="false">
      <c r="A64" s="19" t="s">
        <v>33</v>
      </c>
      <c r="B64" s="20" t="s">
        <v>20</v>
      </c>
      <c r="C64" s="20" t="s">
        <v>27</v>
      </c>
      <c r="D64" s="21" t="n">
        <v>186602</v>
      </c>
      <c r="E64" s="20" t="n">
        <v>748</v>
      </c>
      <c r="F64" s="22" t="n">
        <v>41277.76</v>
      </c>
    </row>
    <row r="65" customFormat="false" ht="15" hidden="false" customHeight="false" outlineLevel="0" collapsed="false">
      <c r="A65" s="23" t="s">
        <v>33</v>
      </c>
      <c r="B65" s="24" t="s">
        <v>20</v>
      </c>
      <c r="C65" s="24" t="s">
        <v>24</v>
      </c>
      <c r="D65" s="25" t="n">
        <v>278576</v>
      </c>
      <c r="E65" s="24" t="n">
        <v>1942</v>
      </c>
      <c r="F65" s="26" t="n">
        <v>46620.55</v>
      </c>
    </row>
    <row r="66" customFormat="false" ht="15" hidden="false" customHeight="false" outlineLevel="0" collapsed="false">
      <c r="A66" s="19" t="s">
        <v>33</v>
      </c>
      <c r="B66" s="20" t="s">
        <v>20</v>
      </c>
      <c r="C66" s="20" t="s">
        <v>26</v>
      </c>
      <c r="D66" s="21" t="n">
        <v>215838</v>
      </c>
      <c r="E66" s="20" t="n">
        <v>1950</v>
      </c>
      <c r="F66" s="22" t="n">
        <v>39023.67</v>
      </c>
    </row>
    <row r="67" customFormat="false" ht="15" hidden="false" customHeight="false" outlineLevel="0" collapsed="false">
      <c r="A67" s="23" t="s">
        <v>33</v>
      </c>
      <c r="B67" s="24" t="s">
        <v>17</v>
      </c>
      <c r="C67" s="24" t="s">
        <v>28</v>
      </c>
      <c r="D67" s="25" t="n">
        <v>118840</v>
      </c>
      <c r="E67" s="24" t="n">
        <v>1815</v>
      </c>
      <c r="F67" s="26" t="n">
        <v>22687.44</v>
      </c>
    </row>
    <row r="68" customFormat="false" ht="15" hidden="false" customHeight="false" outlineLevel="0" collapsed="false">
      <c r="A68" s="19" t="s">
        <v>33</v>
      </c>
      <c r="B68" s="20" t="s">
        <v>17</v>
      </c>
      <c r="C68" s="20" t="s">
        <v>25</v>
      </c>
      <c r="D68" s="21" t="n">
        <v>489792</v>
      </c>
      <c r="E68" s="20" t="n">
        <v>541</v>
      </c>
      <c r="F68" s="22" t="n">
        <v>166828.95</v>
      </c>
    </row>
    <row r="69" customFormat="false" ht="15" hidden="false" customHeight="false" outlineLevel="0" collapsed="false">
      <c r="A69" s="23" t="s">
        <v>33</v>
      </c>
      <c r="B69" s="24" t="s">
        <v>17</v>
      </c>
      <c r="C69" s="24" t="s">
        <v>27</v>
      </c>
      <c r="D69" s="25" t="n">
        <v>364877</v>
      </c>
      <c r="E69" s="24" t="n">
        <v>1930</v>
      </c>
      <c r="F69" s="26" t="n">
        <v>81846.34</v>
      </c>
    </row>
    <row r="70" customFormat="false" ht="15" hidden="false" customHeight="false" outlineLevel="0" collapsed="false">
      <c r="A70" s="19" t="s">
        <v>33</v>
      </c>
      <c r="B70" s="20" t="s">
        <v>17</v>
      </c>
      <c r="C70" s="20" t="s">
        <v>24</v>
      </c>
      <c r="D70" s="21" t="n">
        <v>466880</v>
      </c>
      <c r="E70" s="20" t="n">
        <v>1736</v>
      </c>
      <c r="F70" s="22" t="n">
        <v>79934.58</v>
      </c>
    </row>
    <row r="71" customFormat="false" ht="15" hidden="false" customHeight="false" outlineLevel="0" collapsed="false">
      <c r="A71" s="23" t="s">
        <v>33</v>
      </c>
      <c r="B71" s="24" t="s">
        <v>17</v>
      </c>
      <c r="C71" s="24" t="s">
        <v>26</v>
      </c>
      <c r="D71" s="25" t="n">
        <v>143264</v>
      </c>
      <c r="E71" s="24" t="n">
        <v>798</v>
      </c>
      <c r="F71" s="26" t="n">
        <v>36158.56</v>
      </c>
    </row>
    <row r="72" customFormat="false" ht="15" hidden="false" customHeight="false" outlineLevel="0" collapsed="false">
      <c r="A72" s="19" t="s">
        <v>33</v>
      </c>
      <c r="B72" s="20" t="s">
        <v>19</v>
      </c>
      <c r="C72" s="20" t="s">
        <v>28</v>
      </c>
      <c r="D72" s="21" t="n">
        <v>162859</v>
      </c>
      <c r="E72" s="20" t="n">
        <v>1689</v>
      </c>
      <c r="F72" s="22" t="n">
        <v>17631.55</v>
      </c>
    </row>
    <row r="73" customFormat="false" ht="15" hidden="false" customHeight="false" outlineLevel="0" collapsed="false">
      <c r="A73" s="23" t="s">
        <v>33</v>
      </c>
      <c r="B73" s="24" t="s">
        <v>19</v>
      </c>
      <c r="C73" s="24" t="s">
        <v>25</v>
      </c>
      <c r="D73" s="25" t="n">
        <v>481839</v>
      </c>
      <c r="E73" s="24" t="n">
        <v>1348</v>
      </c>
      <c r="F73" s="26" t="n">
        <v>124597.7</v>
      </c>
    </row>
    <row r="74" customFormat="false" ht="15" hidden="false" customHeight="false" outlineLevel="0" collapsed="false">
      <c r="A74" s="19" t="s">
        <v>33</v>
      </c>
      <c r="B74" s="20" t="s">
        <v>19</v>
      </c>
      <c r="C74" s="20" t="s">
        <v>27</v>
      </c>
      <c r="D74" s="21" t="n">
        <v>227789</v>
      </c>
      <c r="E74" s="20" t="n">
        <v>1253</v>
      </c>
      <c r="F74" s="22" t="n">
        <v>53014.16</v>
      </c>
    </row>
    <row r="75" customFormat="false" ht="15" hidden="false" customHeight="false" outlineLevel="0" collapsed="false">
      <c r="A75" s="23" t="s">
        <v>33</v>
      </c>
      <c r="B75" s="24" t="s">
        <v>19</v>
      </c>
      <c r="C75" s="24" t="s">
        <v>24</v>
      </c>
      <c r="D75" s="25" t="n">
        <v>175657</v>
      </c>
      <c r="E75" s="24" t="n">
        <v>1795</v>
      </c>
      <c r="F75" s="26" t="n">
        <v>41845.59</v>
      </c>
    </row>
    <row r="76" customFormat="false" ht="15" hidden="false" customHeight="false" outlineLevel="0" collapsed="false">
      <c r="A76" s="19" t="s">
        <v>33</v>
      </c>
      <c r="B76" s="20" t="s">
        <v>19</v>
      </c>
      <c r="C76" s="20" t="s">
        <v>26</v>
      </c>
      <c r="D76" s="21" t="n">
        <v>244806</v>
      </c>
      <c r="E76" s="20" t="n">
        <v>935</v>
      </c>
      <c r="F76" s="22" t="n">
        <v>29428.94</v>
      </c>
    </row>
    <row r="77" customFormat="false" ht="15" hidden="false" customHeight="false" outlineLevel="0" collapsed="false">
      <c r="A77" s="23" t="s">
        <v>34</v>
      </c>
      <c r="B77" s="24" t="s">
        <v>18</v>
      </c>
      <c r="C77" s="24" t="s">
        <v>28</v>
      </c>
      <c r="D77" s="25" t="n">
        <v>159751</v>
      </c>
      <c r="E77" s="24" t="n">
        <v>222</v>
      </c>
      <c r="F77" s="26" t="n">
        <v>25646.42</v>
      </c>
    </row>
    <row r="78" customFormat="false" ht="15" hidden="false" customHeight="false" outlineLevel="0" collapsed="false">
      <c r="A78" s="19" t="s">
        <v>34</v>
      </c>
      <c r="B78" s="20" t="s">
        <v>18</v>
      </c>
      <c r="C78" s="20" t="s">
        <v>25</v>
      </c>
      <c r="D78" s="21" t="n">
        <v>218229</v>
      </c>
      <c r="E78" s="20" t="n">
        <v>379</v>
      </c>
      <c r="F78" s="22" t="n">
        <v>47481.21</v>
      </c>
    </row>
    <row r="79" customFormat="false" ht="15" hidden="false" customHeight="false" outlineLevel="0" collapsed="false">
      <c r="A79" s="23" t="s">
        <v>34</v>
      </c>
      <c r="B79" s="24" t="s">
        <v>18</v>
      </c>
      <c r="C79" s="24" t="s">
        <v>27</v>
      </c>
      <c r="D79" s="25" t="n">
        <v>156081</v>
      </c>
      <c r="E79" s="24" t="n">
        <v>297</v>
      </c>
      <c r="F79" s="26" t="n">
        <v>31170.33</v>
      </c>
    </row>
    <row r="80" customFormat="false" ht="15" hidden="false" customHeight="false" outlineLevel="0" collapsed="false">
      <c r="A80" s="19" t="s">
        <v>34</v>
      </c>
      <c r="B80" s="20" t="s">
        <v>18</v>
      </c>
      <c r="C80" s="20" t="s">
        <v>24</v>
      </c>
      <c r="D80" s="21" t="n">
        <v>160078</v>
      </c>
      <c r="E80" s="20" t="n">
        <v>851</v>
      </c>
      <c r="F80" s="22" t="n">
        <v>47957.17</v>
      </c>
    </row>
    <row r="81" customFormat="false" ht="15" hidden="false" customHeight="false" outlineLevel="0" collapsed="false">
      <c r="A81" s="23" t="s">
        <v>34</v>
      </c>
      <c r="B81" s="24" t="s">
        <v>18</v>
      </c>
      <c r="C81" s="24" t="s">
        <v>26</v>
      </c>
      <c r="D81" s="25" t="n">
        <v>405528</v>
      </c>
      <c r="E81" s="24" t="n">
        <v>1247</v>
      </c>
      <c r="F81" s="26" t="n">
        <v>92075.01</v>
      </c>
    </row>
    <row r="82" customFormat="false" ht="15" hidden="false" customHeight="false" outlineLevel="0" collapsed="false">
      <c r="A82" s="19" t="s">
        <v>34</v>
      </c>
      <c r="B82" s="20" t="s">
        <v>31</v>
      </c>
      <c r="C82" s="20" t="s">
        <v>28</v>
      </c>
      <c r="D82" s="21" t="n">
        <v>101663</v>
      </c>
      <c r="E82" s="20" t="n">
        <v>1472</v>
      </c>
      <c r="F82" s="22" t="n">
        <v>31982.13</v>
      </c>
    </row>
    <row r="83" customFormat="false" ht="15" hidden="false" customHeight="false" outlineLevel="0" collapsed="false">
      <c r="A83" s="23" t="s">
        <v>34</v>
      </c>
      <c r="B83" s="24" t="s">
        <v>31</v>
      </c>
      <c r="C83" s="24" t="s">
        <v>25</v>
      </c>
      <c r="D83" s="25" t="n">
        <v>183883</v>
      </c>
      <c r="E83" s="24" t="n">
        <v>1054</v>
      </c>
      <c r="F83" s="26" t="n">
        <v>28512.95</v>
      </c>
    </row>
    <row r="84" customFormat="false" ht="15" hidden="false" customHeight="false" outlineLevel="0" collapsed="false">
      <c r="A84" s="19" t="s">
        <v>34</v>
      </c>
      <c r="B84" s="20" t="s">
        <v>31</v>
      </c>
      <c r="C84" s="20" t="s">
        <v>27</v>
      </c>
      <c r="D84" s="21" t="n">
        <v>436393</v>
      </c>
      <c r="E84" s="20" t="n">
        <v>1634</v>
      </c>
      <c r="F84" s="22" t="n">
        <v>68349.59</v>
      </c>
    </row>
    <row r="85" customFormat="false" ht="15" hidden="false" customHeight="false" outlineLevel="0" collapsed="false">
      <c r="A85" s="23" t="s">
        <v>34</v>
      </c>
      <c r="B85" s="24" t="s">
        <v>31</v>
      </c>
      <c r="C85" s="24" t="s">
        <v>24</v>
      </c>
      <c r="D85" s="25" t="n">
        <v>183983</v>
      </c>
      <c r="E85" s="24" t="n">
        <v>1834</v>
      </c>
      <c r="F85" s="26" t="n">
        <v>26418.41</v>
      </c>
    </row>
    <row r="86" customFormat="false" ht="15" hidden="false" customHeight="false" outlineLevel="0" collapsed="false">
      <c r="A86" s="19" t="s">
        <v>34</v>
      </c>
      <c r="B86" s="20" t="s">
        <v>31</v>
      </c>
      <c r="C86" s="20" t="s">
        <v>26</v>
      </c>
      <c r="D86" s="21" t="n">
        <v>134896</v>
      </c>
      <c r="E86" s="20" t="n">
        <v>1763</v>
      </c>
      <c r="F86" s="22" t="n">
        <v>30950.25</v>
      </c>
    </row>
    <row r="87" customFormat="false" ht="15" hidden="false" customHeight="false" outlineLevel="0" collapsed="false">
      <c r="A87" s="23" t="s">
        <v>34</v>
      </c>
      <c r="B87" s="24" t="s">
        <v>20</v>
      </c>
      <c r="C87" s="24" t="s">
        <v>28</v>
      </c>
      <c r="D87" s="25" t="n">
        <v>323255</v>
      </c>
      <c r="E87" s="24" t="n">
        <v>740</v>
      </c>
      <c r="F87" s="26" t="n">
        <v>86930.55</v>
      </c>
    </row>
    <row r="88" customFormat="false" ht="15" hidden="false" customHeight="false" outlineLevel="0" collapsed="false">
      <c r="A88" s="19" t="s">
        <v>34</v>
      </c>
      <c r="B88" s="20" t="s">
        <v>20</v>
      </c>
      <c r="C88" s="20" t="s">
        <v>25</v>
      </c>
      <c r="D88" s="21" t="n">
        <v>351528</v>
      </c>
      <c r="E88" s="20" t="n">
        <v>250</v>
      </c>
      <c r="F88" s="22" t="n">
        <v>82736.33</v>
      </c>
    </row>
    <row r="89" customFormat="false" ht="15" hidden="false" customHeight="false" outlineLevel="0" collapsed="false">
      <c r="A89" s="23" t="s">
        <v>34</v>
      </c>
      <c r="B89" s="24" t="s">
        <v>20</v>
      </c>
      <c r="C89" s="24" t="s">
        <v>27</v>
      </c>
      <c r="D89" s="25" t="n">
        <v>80306</v>
      </c>
      <c r="E89" s="24" t="n">
        <v>362</v>
      </c>
      <c r="F89" s="26" t="n">
        <v>21280.77</v>
      </c>
    </row>
    <row r="90" customFormat="false" ht="15" hidden="false" customHeight="false" outlineLevel="0" collapsed="false">
      <c r="A90" s="19" t="s">
        <v>34</v>
      </c>
      <c r="B90" s="20" t="s">
        <v>20</v>
      </c>
      <c r="C90" s="20" t="s">
        <v>24</v>
      </c>
      <c r="D90" s="21" t="n">
        <v>408745</v>
      </c>
      <c r="E90" s="20" t="n">
        <v>723</v>
      </c>
      <c r="F90" s="22" t="n">
        <v>97608.39</v>
      </c>
    </row>
    <row r="91" customFormat="false" ht="15" hidden="false" customHeight="false" outlineLevel="0" collapsed="false">
      <c r="A91" s="23" t="s">
        <v>34</v>
      </c>
      <c r="B91" s="24" t="s">
        <v>20</v>
      </c>
      <c r="C91" s="24" t="s">
        <v>26</v>
      </c>
      <c r="D91" s="25" t="n">
        <v>423616</v>
      </c>
      <c r="E91" s="24" t="n">
        <v>101</v>
      </c>
      <c r="F91" s="26" t="n">
        <v>147868.85</v>
      </c>
    </row>
    <row r="92" customFormat="false" ht="15" hidden="false" customHeight="false" outlineLevel="0" collapsed="false">
      <c r="A92" s="19" t="s">
        <v>34</v>
      </c>
      <c r="B92" s="20" t="s">
        <v>17</v>
      </c>
      <c r="C92" s="20" t="s">
        <v>28</v>
      </c>
      <c r="D92" s="21" t="n">
        <v>425037</v>
      </c>
      <c r="E92" s="20" t="n">
        <v>1775</v>
      </c>
      <c r="F92" s="22" t="n">
        <v>101827.54</v>
      </c>
    </row>
    <row r="93" customFormat="false" ht="15" hidden="false" customHeight="false" outlineLevel="0" collapsed="false">
      <c r="A93" s="23" t="s">
        <v>34</v>
      </c>
      <c r="B93" s="24" t="s">
        <v>17</v>
      </c>
      <c r="C93" s="24" t="s">
        <v>25</v>
      </c>
      <c r="D93" s="25" t="n">
        <v>341999</v>
      </c>
      <c r="E93" s="24" t="n">
        <v>1114</v>
      </c>
      <c r="F93" s="26" t="n">
        <v>63186.86</v>
      </c>
    </row>
    <row r="94" customFormat="false" ht="15" hidden="false" customHeight="false" outlineLevel="0" collapsed="false">
      <c r="A94" s="19" t="s">
        <v>34</v>
      </c>
      <c r="B94" s="20" t="s">
        <v>17</v>
      </c>
      <c r="C94" s="20" t="s">
        <v>27</v>
      </c>
      <c r="D94" s="21" t="n">
        <v>430002</v>
      </c>
      <c r="E94" s="20" t="n">
        <v>1782</v>
      </c>
      <c r="F94" s="22" t="n">
        <v>121040.8</v>
      </c>
    </row>
    <row r="95" customFormat="false" ht="15" hidden="false" customHeight="false" outlineLevel="0" collapsed="false">
      <c r="A95" s="23" t="s">
        <v>34</v>
      </c>
      <c r="B95" s="24" t="s">
        <v>17</v>
      </c>
      <c r="C95" s="24" t="s">
        <v>24</v>
      </c>
      <c r="D95" s="25" t="n">
        <v>116690</v>
      </c>
      <c r="E95" s="24" t="n">
        <v>503</v>
      </c>
      <c r="F95" s="26" t="n">
        <v>37547.53</v>
      </c>
    </row>
    <row r="96" customFormat="false" ht="15" hidden="false" customHeight="false" outlineLevel="0" collapsed="false">
      <c r="A96" s="19" t="s">
        <v>34</v>
      </c>
      <c r="B96" s="20" t="s">
        <v>17</v>
      </c>
      <c r="C96" s="20" t="s">
        <v>26</v>
      </c>
      <c r="D96" s="21" t="n">
        <v>438215</v>
      </c>
      <c r="E96" s="20" t="n">
        <v>1796</v>
      </c>
      <c r="F96" s="22" t="n">
        <v>114158.47</v>
      </c>
    </row>
    <row r="97" customFormat="false" ht="15" hidden="false" customHeight="false" outlineLevel="0" collapsed="false">
      <c r="A97" s="23" t="s">
        <v>34</v>
      </c>
      <c r="B97" s="24" t="s">
        <v>19</v>
      </c>
      <c r="C97" s="24" t="s">
        <v>28</v>
      </c>
      <c r="D97" s="25" t="n">
        <v>193946</v>
      </c>
      <c r="E97" s="24" t="n">
        <v>1748</v>
      </c>
      <c r="F97" s="26" t="n">
        <v>27231.41</v>
      </c>
    </row>
    <row r="98" customFormat="false" ht="15" hidden="false" customHeight="false" outlineLevel="0" collapsed="false">
      <c r="A98" s="19" t="s">
        <v>34</v>
      </c>
      <c r="B98" s="20" t="s">
        <v>19</v>
      </c>
      <c r="C98" s="20" t="s">
        <v>25</v>
      </c>
      <c r="D98" s="21" t="n">
        <v>234423</v>
      </c>
      <c r="E98" s="20" t="n">
        <v>1975</v>
      </c>
      <c r="F98" s="22" t="n">
        <v>57473.87</v>
      </c>
    </row>
    <row r="99" customFormat="false" ht="15" hidden="false" customHeight="false" outlineLevel="0" collapsed="false">
      <c r="A99" s="23" t="s">
        <v>34</v>
      </c>
      <c r="B99" s="24" t="s">
        <v>19</v>
      </c>
      <c r="C99" s="24" t="s">
        <v>27</v>
      </c>
      <c r="D99" s="25" t="n">
        <v>438207</v>
      </c>
      <c r="E99" s="24" t="n">
        <v>609</v>
      </c>
      <c r="F99" s="26" t="n">
        <v>146813.96</v>
      </c>
    </row>
    <row r="100" customFormat="false" ht="15" hidden="false" customHeight="false" outlineLevel="0" collapsed="false">
      <c r="A100" s="19" t="s">
        <v>34</v>
      </c>
      <c r="B100" s="20" t="s">
        <v>19</v>
      </c>
      <c r="C100" s="20" t="s">
        <v>24</v>
      </c>
      <c r="D100" s="21" t="n">
        <v>183272</v>
      </c>
      <c r="E100" s="20" t="n">
        <v>1984</v>
      </c>
      <c r="F100" s="22" t="n">
        <v>31335.89</v>
      </c>
    </row>
    <row r="101" customFormat="false" ht="15" hidden="false" customHeight="false" outlineLevel="0" collapsed="false">
      <c r="A101" s="23" t="s">
        <v>34</v>
      </c>
      <c r="B101" s="24" t="s">
        <v>19</v>
      </c>
      <c r="C101" s="24" t="s">
        <v>26</v>
      </c>
      <c r="D101" s="25" t="n">
        <v>333501</v>
      </c>
      <c r="E101" s="24" t="n">
        <v>437</v>
      </c>
      <c r="F101" s="26" t="n">
        <v>73838.27</v>
      </c>
    </row>
    <row r="102" customFormat="false" ht="15" hidden="false" customHeight="false" outlineLevel="0" collapsed="false">
      <c r="A102" s="19" t="s">
        <v>35</v>
      </c>
      <c r="B102" s="20" t="s">
        <v>18</v>
      </c>
      <c r="C102" s="20" t="s">
        <v>28</v>
      </c>
      <c r="D102" s="21" t="n">
        <v>307186</v>
      </c>
      <c r="E102" s="20" t="n">
        <v>1843</v>
      </c>
      <c r="F102" s="22" t="n">
        <v>107089.45</v>
      </c>
    </row>
    <row r="103" customFormat="false" ht="15" hidden="false" customHeight="false" outlineLevel="0" collapsed="false">
      <c r="A103" s="23" t="s">
        <v>35</v>
      </c>
      <c r="B103" s="24" t="s">
        <v>18</v>
      </c>
      <c r="C103" s="24" t="s">
        <v>25</v>
      </c>
      <c r="D103" s="25" t="n">
        <v>144179</v>
      </c>
      <c r="E103" s="24" t="n">
        <v>260</v>
      </c>
      <c r="F103" s="26" t="n">
        <v>15069.42</v>
      </c>
    </row>
    <row r="104" customFormat="false" ht="15" hidden="false" customHeight="false" outlineLevel="0" collapsed="false">
      <c r="A104" s="19" t="s">
        <v>35</v>
      </c>
      <c r="B104" s="20" t="s">
        <v>18</v>
      </c>
      <c r="C104" s="20" t="s">
        <v>27</v>
      </c>
      <c r="D104" s="21" t="n">
        <v>403556</v>
      </c>
      <c r="E104" s="20" t="n">
        <v>915</v>
      </c>
      <c r="F104" s="22" t="n">
        <v>115668.37</v>
      </c>
    </row>
    <row r="105" customFormat="false" ht="15" hidden="false" customHeight="false" outlineLevel="0" collapsed="false">
      <c r="A105" s="23" t="s">
        <v>35</v>
      </c>
      <c r="B105" s="24" t="s">
        <v>18</v>
      </c>
      <c r="C105" s="24" t="s">
        <v>24</v>
      </c>
      <c r="D105" s="25" t="n">
        <v>465615</v>
      </c>
      <c r="E105" s="24" t="n">
        <v>1515</v>
      </c>
      <c r="F105" s="26" t="n">
        <v>145414.29</v>
      </c>
    </row>
    <row r="106" customFormat="false" ht="15" hidden="false" customHeight="false" outlineLevel="0" collapsed="false">
      <c r="A106" s="19" t="s">
        <v>35</v>
      </c>
      <c r="B106" s="20" t="s">
        <v>18</v>
      </c>
      <c r="C106" s="20" t="s">
        <v>26</v>
      </c>
      <c r="D106" s="21" t="n">
        <v>136416</v>
      </c>
      <c r="E106" s="20" t="n">
        <v>739</v>
      </c>
      <c r="F106" s="22" t="n">
        <v>33023.2</v>
      </c>
    </row>
    <row r="107" customFormat="false" ht="15" hidden="false" customHeight="false" outlineLevel="0" collapsed="false">
      <c r="A107" s="23" t="s">
        <v>35</v>
      </c>
      <c r="B107" s="24" t="s">
        <v>31</v>
      </c>
      <c r="C107" s="24" t="s">
        <v>28</v>
      </c>
      <c r="D107" s="25" t="n">
        <v>251163</v>
      </c>
      <c r="E107" s="24" t="n">
        <v>1054</v>
      </c>
      <c r="F107" s="26" t="n">
        <v>48205.45</v>
      </c>
    </row>
    <row r="108" customFormat="false" ht="15" hidden="false" customHeight="false" outlineLevel="0" collapsed="false">
      <c r="A108" s="19" t="s">
        <v>35</v>
      </c>
      <c r="B108" s="20" t="s">
        <v>31</v>
      </c>
      <c r="C108" s="20" t="s">
        <v>25</v>
      </c>
      <c r="D108" s="21" t="n">
        <v>331974</v>
      </c>
      <c r="E108" s="20" t="n">
        <v>1145</v>
      </c>
      <c r="F108" s="22" t="n">
        <v>53446.95</v>
      </c>
    </row>
    <row r="109" customFormat="false" ht="15" hidden="false" customHeight="false" outlineLevel="0" collapsed="false">
      <c r="A109" s="23" t="s">
        <v>35</v>
      </c>
      <c r="B109" s="24" t="s">
        <v>31</v>
      </c>
      <c r="C109" s="24" t="s">
        <v>27</v>
      </c>
      <c r="D109" s="25" t="n">
        <v>97333</v>
      </c>
      <c r="E109" s="24" t="n">
        <v>1488</v>
      </c>
      <c r="F109" s="26" t="n">
        <v>21577.32</v>
      </c>
    </row>
    <row r="110" customFormat="false" ht="15" hidden="false" customHeight="false" outlineLevel="0" collapsed="false">
      <c r="A110" s="19" t="s">
        <v>35</v>
      </c>
      <c r="B110" s="20" t="s">
        <v>31</v>
      </c>
      <c r="C110" s="20" t="s">
        <v>24</v>
      </c>
      <c r="D110" s="21" t="n">
        <v>449111</v>
      </c>
      <c r="E110" s="20" t="n">
        <v>1406</v>
      </c>
      <c r="F110" s="22" t="n">
        <v>93683.92</v>
      </c>
    </row>
    <row r="111" customFormat="false" ht="15" hidden="false" customHeight="false" outlineLevel="0" collapsed="false">
      <c r="A111" s="23" t="s">
        <v>35</v>
      </c>
      <c r="B111" s="24" t="s">
        <v>31</v>
      </c>
      <c r="C111" s="24" t="s">
        <v>26</v>
      </c>
      <c r="D111" s="25" t="n">
        <v>491620</v>
      </c>
      <c r="E111" s="24" t="n">
        <v>897</v>
      </c>
      <c r="F111" s="26" t="n">
        <v>128448.43</v>
      </c>
    </row>
    <row r="112" customFormat="false" ht="15" hidden="false" customHeight="false" outlineLevel="0" collapsed="false">
      <c r="A112" s="19" t="s">
        <v>35</v>
      </c>
      <c r="B112" s="20" t="s">
        <v>20</v>
      </c>
      <c r="C112" s="20" t="s">
        <v>28</v>
      </c>
      <c r="D112" s="21" t="n">
        <v>483006</v>
      </c>
      <c r="E112" s="20" t="n">
        <v>1059</v>
      </c>
      <c r="F112" s="22" t="n">
        <v>152650.13</v>
      </c>
    </row>
    <row r="113" customFormat="false" ht="15" hidden="false" customHeight="false" outlineLevel="0" collapsed="false">
      <c r="A113" s="23" t="s">
        <v>35</v>
      </c>
      <c r="B113" s="24" t="s">
        <v>20</v>
      </c>
      <c r="C113" s="24" t="s">
        <v>25</v>
      </c>
      <c r="D113" s="25" t="n">
        <v>405323</v>
      </c>
      <c r="E113" s="24" t="n">
        <v>1952</v>
      </c>
      <c r="F113" s="26" t="n">
        <v>91115.94</v>
      </c>
    </row>
    <row r="114" customFormat="false" ht="15" hidden="false" customHeight="false" outlineLevel="0" collapsed="false">
      <c r="A114" s="19" t="s">
        <v>35</v>
      </c>
      <c r="B114" s="20" t="s">
        <v>20</v>
      </c>
      <c r="C114" s="20" t="s">
        <v>27</v>
      </c>
      <c r="D114" s="21" t="n">
        <v>152946</v>
      </c>
      <c r="E114" s="20" t="n">
        <v>1315</v>
      </c>
      <c r="F114" s="22" t="n">
        <v>39975.2</v>
      </c>
    </row>
    <row r="115" customFormat="false" ht="15" hidden="false" customHeight="false" outlineLevel="0" collapsed="false">
      <c r="A115" s="23" t="s">
        <v>35</v>
      </c>
      <c r="B115" s="24" t="s">
        <v>20</v>
      </c>
      <c r="C115" s="24" t="s">
        <v>24</v>
      </c>
      <c r="D115" s="25" t="n">
        <v>237563</v>
      </c>
      <c r="E115" s="24" t="n">
        <v>1343</v>
      </c>
      <c r="F115" s="26" t="n">
        <v>51666.66</v>
      </c>
    </row>
    <row r="116" customFormat="false" ht="15" hidden="false" customHeight="false" outlineLevel="0" collapsed="false">
      <c r="A116" s="19" t="s">
        <v>35</v>
      </c>
      <c r="B116" s="20" t="s">
        <v>20</v>
      </c>
      <c r="C116" s="20" t="s">
        <v>26</v>
      </c>
      <c r="D116" s="21" t="n">
        <v>132989</v>
      </c>
      <c r="E116" s="20" t="n">
        <v>1496</v>
      </c>
      <c r="F116" s="22" t="n">
        <v>42672.65</v>
      </c>
    </row>
    <row r="117" customFormat="false" ht="15" hidden="false" customHeight="false" outlineLevel="0" collapsed="false">
      <c r="A117" s="23" t="s">
        <v>35</v>
      </c>
      <c r="B117" s="24" t="s">
        <v>17</v>
      </c>
      <c r="C117" s="24" t="s">
        <v>28</v>
      </c>
      <c r="D117" s="25" t="n">
        <v>213707</v>
      </c>
      <c r="E117" s="24" t="n">
        <v>1868</v>
      </c>
      <c r="F117" s="26" t="n">
        <v>72290.23</v>
      </c>
    </row>
    <row r="118" customFormat="false" ht="15" hidden="false" customHeight="false" outlineLevel="0" collapsed="false">
      <c r="A118" s="19" t="s">
        <v>35</v>
      </c>
      <c r="B118" s="20" t="s">
        <v>17</v>
      </c>
      <c r="C118" s="20" t="s">
        <v>25</v>
      </c>
      <c r="D118" s="21" t="n">
        <v>315564</v>
      </c>
      <c r="E118" s="20" t="n">
        <v>596</v>
      </c>
      <c r="F118" s="22" t="n">
        <v>75164.58</v>
      </c>
    </row>
    <row r="119" customFormat="false" ht="15" hidden="false" customHeight="false" outlineLevel="0" collapsed="false">
      <c r="A119" s="23" t="s">
        <v>35</v>
      </c>
      <c r="B119" s="24" t="s">
        <v>17</v>
      </c>
      <c r="C119" s="24" t="s">
        <v>27</v>
      </c>
      <c r="D119" s="25" t="n">
        <v>165294</v>
      </c>
      <c r="E119" s="24" t="n">
        <v>1222</v>
      </c>
      <c r="F119" s="26" t="n">
        <v>57040.13</v>
      </c>
    </row>
    <row r="120" customFormat="false" ht="15" hidden="false" customHeight="false" outlineLevel="0" collapsed="false">
      <c r="A120" s="19" t="s">
        <v>35</v>
      </c>
      <c r="B120" s="20" t="s">
        <v>17</v>
      </c>
      <c r="C120" s="20" t="s">
        <v>24</v>
      </c>
      <c r="D120" s="21" t="n">
        <v>174019</v>
      </c>
      <c r="E120" s="20" t="n">
        <v>290</v>
      </c>
      <c r="F120" s="22" t="n">
        <v>30701.17</v>
      </c>
    </row>
    <row r="121" customFormat="false" ht="15" hidden="false" customHeight="false" outlineLevel="0" collapsed="false">
      <c r="A121" s="23" t="s">
        <v>35</v>
      </c>
      <c r="B121" s="24" t="s">
        <v>17</v>
      </c>
      <c r="C121" s="24" t="s">
        <v>26</v>
      </c>
      <c r="D121" s="25" t="n">
        <v>318246</v>
      </c>
      <c r="E121" s="24" t="n">
        <v>1284</v>
      </c>
      <c r="F121" s="26" t="n">
        <v>57039.39</v>
      </c>
    </row>
    <row r="122" customFormat="false" ht="15" hidden="false" customHeight="false" outlineLevel="0" collapsed="false">
      <c r="A122" s="19" t="s">
        <v>35</v>
      </c>
      <c r="B122" s="20" t="s">
        <v>19</v>
      </c>
      <c r="C122" s="20" t="s">
        <v>28</v>
      </c>
      <c r="D122" s="21" t="n">
        <v>304079</v>
      </c>
      <c r="E122" s="20" t="n">
        <v>117</v>
      </c>
      <c r="F122" s="22" t="n">
        <v>72735.79</v>
      </c>
    </row>
    <row r="123" customFormat="false" ht="15" hidden="false" customHeight="false" outlineLevel="0" collapsed="false">
      <c r="A123" s="23" t="s">
        <v>35</v>
      </c>
      <c r="B123" s="24" t="s">
        <v>19</v>
      </c>
      <c r="C123" s="24" t="s">
        <v>25</v>
      </c>
      <c r="D123" s="25" t="n">
        <v>466309</v>
      </c>
      <c r="E123" s="24" t="n">
        <v>669</v>
      </c>
      <c r="F123" s="26" t="n">
        <v>155049.71</v>
      </c>
    </row>
    <row r="124" customFormat="false" ht="15" hidden="false" customHeight="false" outlineLevel="0" collapsed="false">
      <c r="A124" s="19" t="s">
        <v>35</v>
      </c>
      <c r="B124" s="20" t="s">
        <v>19</v>
      </c>
      <c r="C124" s="20" t="s">
        <v>27</v>
      </c>
      <c r="D124" s="21" t="n">
        <v>495101</v>
      </c>
      <c r="E124" s="20" t="n">
        <v>1915</v>
      </c>
      <c r="F124" s="22" t="n">
        <v>75369.07</v>
      </c>
    </row>
    <row r="125" customFormat="false" ht="15" hidden="false" customHeight="false" outlineLevel="0" collapsed="false">
      <c r="A125" s="23" t="s">
        <v>35</v>
      </c>
      <c r="B125" s="24" t="s">
        <v>19</v>
      </c>
      <c r="C125" s="24" t="s">
        <v>24</v>
      </c>
      <c r="D125" s="25" t="n">
        <v>54014</v>
      </c>
      <c r="E125" s="24" t="n">
        <v>953</v>
      </c>
      <c r="F125" s="26" t="n">
        <v>10244.39</v>
      </c>
    </row>
    <row r="126" customFormat="false" ht="15" hidden="false" customHeight="false" outlineLevel="0" collapsed="false">
      <c r="A126" s="19" t="s">
        <v>35</v>
      </c>
      <c r="B126" s="20" t="s">
        <v>19</v>
      </c>
      <c r="C126" s="20" t="s">
        <v>26</v>
      </c>
      <c r="D126" s="21" t="n">
        <v>106958</v>
      </c>
      <c r="E126" s="20" t="n">
        <v>254</v>
      </c>
      <c r="F126" s="22" t="n">
        <v>18591.72</v>
      </c>
    </row>
    <row r="127" customFormat="false" ht="15" hidden="false" customHeight="false" outlineLevel="0" collapsed="false">
      <c r="A127" s="23" t="s">
        <v>36</v>
      </c>
      <c r="B127" s="24" t="s">
        <v>18</v>
      </c>
      <c r="C127" s="24" t="s">
        <v>28</v>
      </c>
      <c r="D127" s="25" t="n">
        <v>226089</v>
      </c>
      <c r="E127" s="24" t="n">
        <v>884</v>
      </c>
      <c r="F127" s="26" t="n">
        <v>70577.63</v>
      </c>
    </row>
    <row r="128" customFormat="false" ht="15" hidden="false" customHeight="false" outlineLevel="0" collapsed="false">
      <c r="A128" s="19" t="s">
        <v>36</v>
      </c>
      <c r="B128" s="20" t="s">
        <v>18</v>
      </c>
      <c r="C128" s="20" t="s">
        <v>25</v>
      </c>
      <c r="D128" s="21" t="n">
        <v>155864</v>
      </c>
      <c r="E128" s="20" t="n">
        <v>1934</v>
      </c>
      <c r="F128" s="22" t="n">
        <v>43209.83</v>
      </c>
    </row>
    <row r="129" customFormat="false" ht="15" hidden="false" customHeight="false" outlineLevel="0" collapsed="false">
      <c r="A129" s="23" t="s">
        <v>36</v>
      </c>
      <c r="B129" s="24" t="s">
        <v>18</v>
      </c>
      <c r="C129" s="24" t="s">
        <v>27</v>
      </c>
      <c r="D129" s="25" t="n">
        <v>417654</v>
      </c>
      <c r="E129" s="24" t="n">
        <v>1600</v>
      </c>
      <c r="F129" s="26" t="n">
        <v>72725.06</v>
      </c>
    </row>
    <row r="130" customFormat="false" ht="15" hidden="false" customHeight="false" outlineLevel="0" collapsed="false">
      <c r="A130" s="19" t="s">
        <v>36</v>
      </c>
      <c r="B130" s="20" t="s">
        <v>18</v>
      </c>
      <c r="C130" s="20" t="s">
        <v>24</v>
      </c>
      <c r="D130" s="21" t="n">
        <v>492905</v>
      </c>
      <c r="E130" s="20" t="n">
        <v>1990</v>
      </c>
      <c r="F130" s="22" t="n">
        <v>80861.92</v>
      </c>
    </row>
    <row r="131" customFormat="false" ht="15" hidden="false" customHeight="false" outlineLevel="0" collapsed="false">
      <c r="A131" s="23" t="s">
        <v>36</v>
      </c>
      <c r="B131" s="24" t="s">
        <v>18</v>
      </c>
      <c r="C131" s="24" t="s">
        <v>26</v>
      </c>
      <c r="D131" s="25" t="n">
        <v>322791</v>
      </c>
      <c r="E131" s="24" t="n">
        <v>624</v>
      </c>
      <c r="F131" s="26" t="n">
        <v>38863.57</v>
      </c>
    </row>
    <row r="132" customFormat="false" ht="15" hidden="false" customHeight="false" outlineLevel="0" collapsed="false">
      <c r="A132" s="19" t="s">
        <v>36</v>
      </c>
      <c r="B132" s="20" t="s">
        <v>31</v>
      </c>
      <c r="C132" s="20" t="s">
        <v>28</v>
      </c>
      <c r="D132" s="21" t="n">
        <v>298710</v>
      </c>
      <c r="E132" s="20" t="n">
        <v>1948</v>
      </c>
      <c r="F132" s="22" t="n">
        <v>76760.59</v>
      </c>
    </row>
    <row r="133" customFormat="false" ht="15" hidden="false" customHeight="false" outlineLevel="0" collapsed="false">
      <c r="A133" s="23" t="s">
        <v>36</v>
      </c>
      <c r="B133" s="24" t="s">
        <v>31</v>
      </c>
      <c r="C133" s="24" t="s">
        <v>25</v>
      </c>
      <c r="D133" s="25" t="n">
        <v>308067</v>
      </c>
      <c r="E133" s="24" t="n">
        <v>420</v>
      </c>
      <c r="F133" s="26" t="n">
        <v>36270.34</v>
      </c>
    </row>
    <row r="134" customFormat="false" ht="15" hidden="false" customHeight="false" outlineLevel="0" collapsed="false">
      <c r="A134" s="19" t="s">
        <v>36</v>
      </c>
      <c r="B134" s="20" t="s">
        <v>31</v>
      </c>
      <c r="C134" s="20" t="s">
        <v>27</v>
      </c>
      <c r="D134" s="21" t="n">
        <v>287549</v>
      </c>
      <c r="E134" s="20" t="n">
        <v>499</v>
      </c>
      <c r="F134" s="22" t="n">
        <v>32404.51</v>
      </c>
    </row>
    <row r="135" customFormat="false" ht="15" hidden="false" customHeight="false" outlineLevel="0" collapsed="false">
      <c r="A135" s="23" t="s">
        <v>36</v>
      </c>
      <c r="B135" s="24" t="s">
        <v>31</v>
      </c>
      <c r="C135" s="24" t="s">
        <v>24</v>
      </c>
      <c r="D135" s="25" t="n">
        <v>137922</v>
      </c>
      <c r="E135" s="24" t="n">
        <v>570</v>
      </c>
      <c r="F135" s="26" t="n">
        <v>14744.44</v>
      </c>
    </row>
    <row r="136" customFormat="false" ht="15" hidden="false" customHeight="false" outlineLevel="0" collapsed="false">
      <c r="A136" s="19" t="s">
        <v>36</v>
      </c>
      <c r="B136" s="20" t="s">
        <v>31</v>
      </c>
      <c r="C136" s="20" t="s">
        <v>26</v>
      </c>
      <c r="D136" s="21" t="n">
        <v>82097</v>
      </c>
      <c r="E136" s="20" t="n">
        <v>933</v>
      </c>
      <c r="F136" s="22" t="n">
        <v>17209.05</v>
      </c>
    </row>
    <row r="137" customFormat="false" ht="15" hidden="false" customHeight="false" outlineLevel="0" collapsed="false">
      <c r="A137" s="23" t="s">
        <v>36</v>
      </c>
      <c r="B137" s="24" t="s">
        <v>20</v>
      </c>
      <c r="C137" s="24" t="s">
        <v>28</v>
      </c>
      <c r="D137" s="25" t="n">
        <v>174862</v>
      </c>
      <c r="E137" s="24" t="n">
        <v>953</v>
      </c>
      <c r="F137" s="26" t="n">
        <v>31831.56</v>
      </c>
    </row>
    <row r="138" customFormat="false" ht="15" hidden="false" customHeight="false" outlineLevel="0" collapsed="false">
      <c r="A138" s="19" t="s">
        <v>36</v>
      </c>
      <c r="B138" s="20" t="s">
        <v>20</v>
      </c>
      <c r="C138" s="20" t="s">
        <v>25</v>
      </c>
      <c r="D138" s="21" t="n">
        <v>102921</v>
      </c>
      <c r="E138" s="20" t="n">
        <v>674</v>
      </c>
      <c r="F138" s="22" t="n">
        <v>35555.11</v>
      </c>
    </row>
    <row r="139" customFormat="false" ht="15" hidden="false" customHeight="false" outlineLevel="0" collapsed="false">
      <c r="A139" s="23" t="s">
        <v>36</v>
      </c>
      <c r="B139" s="24" t="s">
        <v>20</v>
      </c>
      <c r="C139" s="24" t="s">
        <v>27</v>
      </c>
      <c r="D139" s="25" t="n">
        <v>334821</v>
      </c>
      <c r="E139" s="24" t="n">
        <v>413</v>
      </c>
      <c r="F139" s="26" t="n">
        <v>105502.48</v>
      </c>
    </row>
    <row r="140" customFormat="false" ht="15" hidden="false" customHeight="false" outlineLevel="0" collapsed="false">
      <c r="A140" s="19" t="s">
        <v>36</v>
      </c>
      <c r="B140" s="20" t="s">
        <v>20</v>
      </c>
      <c r="C140" s="20" t="s">
        <v>24</v>
      </c>
      <c r="D140" s="21" t="n">
        <v>81024</v>
      </c>
      <c r="E140" s="20" t="n">
        <v>1815</v>
      </c>
      <c r="F140" s="22" t="n">
        <v>8889.04</v>
      </c>
    </row>
    <row r="141" customFormat="false" ht="15" hidden="false" customHeight="false" outlineLevel="0" collapsed="false">
      <c r="A141" s="23" t="s">
        <v>36</v>
      </c>
      <c r="B141" s="24" t="s">
        <v>20</v>
      </c>
      <c r="C141" s="24" t="s">
        <v>26</v>
      </c>
      <c r="D141" s="25" t="n">
        <v>234078</v>
      </c>
      <c r="E141" s="24" t="n">
        <v>1177</v>
      </c>
      <c r="F141" s="26" t="n">
        <v>54837.6</v>
      </c>
    </row>
    <row r="142" customFormat="false" ht="15" hidden="false" customHeight="false" outlineLevel="0" collapsed="false">
      <c r="A142" s="19" t="s">
        <v>36</v>
      </c>
      <c r="B142" s="20" t="s">
        <v>17</v>
      </c>
      <c r="C142" s="20" t="s">
        <v>28</v>
      </c>
      <c r="D142" s="21" t="n">
        <v>163632</v>
      </c>
      <c r="E142" s="20" t="n">
        <v>363</v>
      </c>
      <c r="F142" s="22" t="n">
        <v>47862.1</v>
      </c>
    </row>
    <row r="143" customFormat="false" ht="15" hidden="false" customHeight="false" outlineLevel="0" collapsed="false">
      <c r="A143" s="23" t="s">
        <v>36</v>
      </c>
      <c r="B143" s="24" t="s">
        <v>17</v>
      </c>
      <c r="C143" s="24" t="s">
        <v>25</v>
      </c>
      <c r="D143" s="25" t="n">
        <v>53051</v>
      </c>
      <c r="E143" s="24" t="n">
        <v>1743</v>
      </c>
      <c r="F143" s="26" t="n">
        <v>13566.34</v>
      </c>
    </row>
    <row r="144" customFormat="false" ht="15" hidden="false" customHeight="false" outlineLevel="0" collapsed="false">
      <c r="A144" s="19" t="s">
        <v>36</v>
      </c>
      <c r="B144" s="20" t="s">
        <v>17</v>
      </c>
      <c r="C144" s="20" t="s">
        <v>27</v>
      </c>
      <c r="D144" s="21" t="n">
        <v>137235</v>
      </c>
      <c r="E144" s="20" t="n">
        <v>873</v>
      </c>
      <c r="F144" s="22" t="n">
        <v>15496.64</v>
      </c>
    </row>
    <row r="145" customFormat="false" ht="15" hidden="false" customHeight="false" outlineLevel="0" collapsed="false">
      <c r="A145" s="23" t="s">
        <v>36</v>
      </c>
      <c r="B145" s="24" t="s">
        <v>17</v>
      </c>
      <c r="C145" s="24" t="s">
        <v>24</v>
      </c>
      <c r="D145" s="25" t="n">
        <v>499395</v>
      </c>
      <c r="E145" s="24" t="n">
        <v>1473</v>
      </c>
      <c r="F145" s="26" t="n">
        <v>117437.12</v>
      </c>
    </row>
    <row r="146" customFormat="false" ht="15" hidden="false" customHeight="false" outlineLevel="0" collapsed="false">
      <c r="A146" s="19" t="s">
        <v>36</v>
      </c>
      <c r="B146" s="20" t="s">
        <v>17</v>
      </c>
      <c r="C146" s="20" t="s">
        <v>26</v>
      </c>
      <c r="D146" s="21" t="n">
        <v>482950</v>
      </c>
      <c r="E146" s="20" t="n">
        <v>1035</v>
      </c>
      <c r="F146" s="22" t="n">
        <v>135961.45</v>
      </c>
    </row>
    <row r="147" customFormat="false" ht="15" hidden="false" customHeight="false" outlineLevel="0" collapsed="false">
      <c r="A147" s="23" t="s">
        <v>36</v>
      </c>
      <c r="B147" s="24" t="s">
        <v>19</v>
      </c>
      <c r="C147" s="24" t="s">
        <v>28</v>
      </c>
      <c r="D147" s="25" t="n">
        <v>144476</v>
      </c>
      <c r="E147" s="24" t="n">
        <v>469</v>
      </c>
      <c r="F147" s="26" t="n">
        <v>33095.85</v>
      </c>
    </row>
    <row r="148" customFormat="false" ht="15" hidden="false" customHeight="false" outlineLevel="0" collapsed="false">
      <c r="A148" s="19" t="s">
        <v>36</v>
      </c>
      <c r="B148" s="20" t="s">
        <v>19</v>
      </c>
      <c r="C148" s="20" t="s">
        <v>25</v>
      </c>
      <c r="D148" s="21" t="n">
        <v>395757</v>
      </c>
      <c r="E148" s="20" t="n">
        <v>1782</v>
      </c>
      <c r="F148" s="22" t="n">
        <v>118250.83</v>
      </c>
    </row>
    <row r="149" customFormat="false" ht="15" hidden="false" customHeight="false" outlineLevel="0" collapsed="false">
      <c r="A149" s="23" t="s">
        <v>36</v>
      </c>
      <c r="B149" s="24" t="s">
        <v>19</v>
      </c>
      <c r="C149" s="24" t="s">
        <v>27</v>
      </c>
      <c r="D149" s="25" t="n">
        <v>394894</v>
      </c>
      <c r="E149" s="24" t="n">
        <v>1910</v>
      </c>
      <c r="F149" s="26" t="n">
        <v>82826.2</v>
      </c>
    </row>
    <row r="150" customFormat="false" ht="15" hidden="false" customHeight="false" outlineLevel="0" collapsed="false">
      <c r="A150" s="19" t="s">
        <v>36</v>
      </c>
      <c r="B150" s="20" t="s">
        <v>19</v>
      </c>
      <c r="C150" s="20" t="s">
        <v>24</v>
      </c>
      <c r="D150" s="21" t="n">
        <v>424710</v>
      </c>
      <c r="E150" s="20" t="n">
        <v>1469</v>
      </c>
      <c r="F150" s="22" t="n">
        <v>45162.68</v>
      </c>
    </row>
    <row r="151" customFormat="false" ht="15" hidden="false" customHeight="false" outlineLevel="0" collapsed="false">
      <c r="A151" s="23" t="s">
        <v>36</v>
      </c>
      <c r="B151" s="24" t="s">
        <v>19</v>
      </c>
      <c r="C151" s="24" t="s">
        <v>26</v>
      </c>
      <c r="D151" s="25" t="n">
        <v>58308</v>
      </c>
      <c r="E151" s="24" t="n">
        <v>1953</v>
      </c>
      <c r="F151" s="26" t="n">
        <v>18016.88</v>
      </c>
    </row>
    <row r="152" customFormat="false" ht="15" hidden="false" customHeight="false" outlineLevel="0" collapsed="false">
      <c r="A152" s="19" t="s">
        <v>37</v>
      </c>
      <c r="B152" s="20" t="s">
        <v>18</v>
      </c>
      <c r="C152" s="20" t="s">
        <v>28</v>
      </c>
      <c r="D152" s="21" t="n">
        <v>270552</v>
      </c>
      <c r="E152" s="20" t="n">
        <v>1112</v>
      </c>
      <c r="F152" s="22" t="n">
        <v>30991.3</v>
      </c>
    </row>
    <row r="153" customFormat="false" ht="15" hidden="false" customHeight="false" outlineLevel="0" collapsed="false">
      <c r="A153" s="23" t="s">
        <v>37</v>
      </c>
      <c r="B153" s="24" t="s">
        <v>18</v>
      </c>
      <c r="C153" s="24" t="s">
        <v>25</v>
      </c>
      <c r="D153" s="25" t="n">
        <v>275913</v>
      </c>
      <c r="E153" s="24" t="n">
        <v>612</v>
      </c>
      <c r="F153" s="26" t="n">
        <v>58103.98</v>
      </c>
    </row>
    <row r="154" customFormat="false" ht="15" hidden="false" customHeight="false" outlineLevel="0" collapsed="false">
      <c r="A154" s="19" t="s">
        <v>37</v>
      </c>
      <c r="B154" s="20" t="s">
        <v>18</v>
      </c>
      <c r="C154" s="20" t="s">
        <v>27</v>
      </c>
      <c r="D154" s="21" t="n">
        <v>227247</v>
      </c>
      <c r="E154" s="20" t="n">
        <v>1761</v>
      </c>
      <c r="F154" s="22" t="n">
        <v>28057.81</v>
      </c>
    </row>
    <row r="155" customFormat="false" ht="15" hidden="false" customHeight="false" outlineLevel="0" collapsed="false">
      <c r="A155" s="23" t="s">
        <v>37</v>
      </c>
      <c r="B155" s="24" t="s">
        <v>18</v>
      </c>
      <c r="C155" s="24" t="s">
        <v>24</v>
      </c>
      <c r="D155" s="25" t="n">
        <v>70056</v>
      </c>
      <c r="E155" s="24" t="n">
        <v>587</v>
      </c>
      <c r="F155" s="26" t="n">
        <v>23374.43</v>
      </c>
    </row>
    <row r="156" customFormat="false" ht="15" hidden="false" customHeight="false" outlineLevel="0" collapsed="false">
      <c r="A156" s="19" t="s">
        <v>37</v>
      </c>
      <c r="B156" s="20" t="s">
        <v>18</v>
      </c>
      <c r="C156" s="20" t="s">
        <v>26</v>
      </c>
      <c r="D156" s="21" t="n">
        <v>423632</v>
      </c>
      <c r="E156" s="20" t="n">
        <v>1395</v>
      </c>
      <c r="F156" s="22" t="n">
        <v>97085.47</v>
      </c>
    </row>
    <row r="157" customFormat="false" ht="15" hidden="false" customHeight="false" outlineLevel="0" collapsed="false">
      <c r="A157" s="23" t="s">
        <v>37</v>
      </c>
      <c r="B157" s="24" t="s">
        <v>31</v>
      </c>
      <c r="C157" s="24" t="s">
        <v>28</v>
      </c>
      <c r="D157" s="25" t="n">
        <v>79375</v>
      </c>
      <c r="E157" s="24" t="n">
        <v>1570</v>
      </c>
      <c r="F157" s="26" t="n">
        <v>16582.88</v>
      </c>
    </row>
    <row r="158" customFormat="false" ht="15" hidden="false" customHeight="false" outlineLevel="0" collapsed="false">
      <c r="A158" s="19" t="s">
        <v>37</v>
      </c>
      <c r="B158" s="20" t="s">
        <v>31</v>
      </c>
      <c r="C158" s="20" t="s">
        <v>25</v>
      </c>
      <c r="D158" s="21" t="n">
        <v>302764</v>
      </c>
      <c r="E158" s="20" t="n">
        <v>346</v>
      </c>
      <c r="F158" s="22" t="n">
        <v>33888.08</v>
      </c>
    </row>
    <row r="159" customFormat="false" ht="15" hidden="false" customHeight="false" outlineLevel="0" collapsed="false">
      <c r="A159" s="23" t="s">
        <v>37</v>
      </c>
      <c r="B159" s="24" t="s">
        <v>31</v>
      </c>
      <c r="C159" s="24" t="s">
        <v>27</v>
      </c>
      <c r="D159" s="25" t="n">
        <v>117215</v>
      </c>
      <c r="E159" s="24" t="n">
        <v>1558</v>
      </c>
      <c r="F159" s="26" t="n">
        <v>33929.23</v>
      </c>
    </row>
    <row r="160" customFormat="false" ht="15" hidden="false" customHeight="false" outlineLevel="0" collapsed="false">
      <c r="A160" s="19" t="s">
        <v>37</v>
      </c>
      <c r="B160" s="20" t="s">
        <v>31</v>
      </c>
      <c r="C160" s="20" t="s">
        <v>24</v>
      </c>
      <c r="D160" s="21" t="n">
        <v>405612</v>
      </c>
      <c r="E160" s="20" t="n">
        <v>1343</v>
      </c>
      <c r="F160" s="22" t="n">
        <v>45226.01</v>
      </c>
    </row>
    <row r="161" customFormat="false" ht="15" hidden="false" customHeight="false" outlineLevel="0" collapsed="false">
      <c r="A161" s="23" t="s">
        <v>37</v>
      </c>
      <c r="B161" s="24" t="s">
        <v>31</v>
      </c>
      <c r="C161" s="24" t="s">
        <v>26</v>
      </c>
      <c r="D161" s="25" t="n">
        <v>390976</v>
      </c>
      <c r="E161" s="24" t="n">
        <v>193</v>
      </c>
      <c r="F161" s="26" t="n">
        <v>122713.74</v>
      </c>
    </row>
    <row r="162" customFormat="false" ht="15" hidden="false" customHeight="false" outlineLevel="0" collapsed="false">
      <c r="A162" s="19" t="s">
        <v>37</v>
      </c>
      <c r="B162" s="20" t="s">
        <v>20</v>
      </c>
      <c r="C162" s="20" t="s">
        <v>28</v>
      </c>
      <c r="D162" s="21" t="n">
        <v>241475</v>
      </c>
      <c r="E162" s="20" t="n">
        <v>552</v>
      </c>
      <c r="F162" s="22" t="n">
        <v>52772.78</v>
      </c>
    </row>
    <row r="163" customFormat="false" ht="15" hidden="false" customHeight="false" outlineLevel="0" collapsed="false">
      <c r="A163" s="23" t="s">
        <v>37</v>
      </c>
      <c r="B163" s="24" t="s">
        <v>20</v>
      </c>
      <c r="C163" s="24" t="s">
        <v>25</v>
      </c>
      <c r="D163" s="25" t="n">
        <v>289833</v>
      </c>
      <c r="E163" s="24" t="n">
        <v>573</v>
      </c>
      <c r="F163" s="26" t="n">
        <v>64604.93</v>
      </c>
    </row>
    <row r="164" customFormat="false" ht="15" hidden="false" customHeight="false" outlineLevel="0" collapsed="false">
      <c r="A164" s="19" t="s">
        <v>37</v>
      </c>
      <c r="B164" s="20" t="s">
        <v>20</v>
      </c>
      <c r="C164" s="20" t="s">
        <v>27</v>
      </c>
      <c r="D164" s="21" t="n">
        <v>406902</v>
      </c>
      <c r="E164" s="20" t="n">
        <v>1735</v>
      </c>
      <c r="F164" s="22" t="n">
        <v>58309.25</v>
      </c>
    </row>
    <row r="165" customFormat="false" ht="15" hidden="false" customHeight="false" outlineLevel="0" collapsed="false">
      <c r="A165" s="23" t="s">
        <v>37</v>
      </c>
      <c r="B165" s="24" t="s">
        <v>20</v>
      </c>
      <c r="C165" s="24" t="s">
        <v>24</v>
      </c>
      <c r="D165" s="25" t="n">
        <v>109101</v>
      </c>
      <c r="E165" s="24" t="n">
        <v>456</v>
      </c>
      <c r="F165" s="26" t="n">
        <v>21779.42</v>
      </c>
    </row>
    <row r="166" customFormat="false" ht="15" hidden="false" customHeight="false" outlineLevel="0" collapsed="false">
      <c r="A166" s="19" t="s">
        <v>37</v>
      </c>
      <c r="B166" s="20" t="s">
        <v>20</v>
      </c>
      <c r="C166" s="20" t="s">
        <v>26</v>
      </c>
      <c r="D166" s="21" t="n">
        <v>73049</v>
      </c>
      <c r="E166" s="20" t="n">
        <v>1881</v>
      </c>
      <c r="F166" s="22" t="n">
        <v>18903.14</v>
      </c>
    </row>
    <row r="167" customFormat="false" ht="15" hidden="false" customHeight="false" outlineLevel="0" collapsed="false">
      <c r="A167" s="23" t="s">
        <v>37</v>
      </c>
      <c r="B167" s="24" t="s">
        <v>17</v>
      </c>
      <c r="C167" s="24" t="s">
        <v>28</v>
      </c>
      <c r="D167" s="25" t="n">
        <v>118385</v>
      </c>
      <c r="E167" s="24" t="n">
        <v>1303</v>
      </c>
      <c r="F167" s="26" t="n">
        <v>22925.63</v>
      </c>
    </row>
    <row r="168" customFormat="false" ht="15" hidden="false" customHeight="false" outlineLevel="0" collapsed="false">
      <c r="A168" s="19" t="s">
        <v>37</v>
      </c>
      <c r="B168" s="20" t="s">
        <v>17</v>
      </c>
      <c r="C168" s="20" t="s">
        <v>25</v>
      </c>
      <c r="D168" s="21" t="n">
        <v>73289</v>
      </c>
      <c r="E168" s="20" t="n">
        <v>1782</v>
      </c>
      <c r="F168" s="22" t="n">
        <v>16547.49</v>
      </c>
    </row>
    <row r="169" customFormat="false" ht="15" hidden="false" customHeight="false" outlineLevel="0" collapsed="false">
      <c r="A169" s="23" t="s">
        <v>37</v>
      </c>
      <c r="B169" s="24" t="s">
        <v>17</v>
      </c>
      <c r="C169" s="24" t="s">
        <v>27</v>
      </c>
      <c r="D169" s="25" t="n">
        <v>241232</v>
      </c>
      <c r="E169" s="24" t="n">
        <v>1115</v>
      </c>
      <c r="F169" s="26" t="n">
        <v>63847.7</v>
      </c>
    </row>
    <row r="170" customFormat="false" ht="15" hidden="false" customHeight="false" outlineLevel="0" collapsed="false">
      <c r="A170" s="19" t="s">
        <v>37</v>
      </c>
      <c r="B170" s="20" t="s">
        <v>17</v>
      </c>
      <c r="C170" s="20" t="s">
        <v>24</v>
      </c>
      <c r="D170" s="21" t="n">
        <v>447827</v>
      </c>
      <c r="E170" s="20" t="n">
        <v>1139</v>
      </c>
      <c r="F170" s="22" t="n">
        <v>52683.35</v>
      </c>
    </row>
    <row r="171" customFormat="false" ht="15" hidden="false" customHeight="false" outlineLevel="0" collapsed="false">
      <c r="A171" s="23" t="s">
        <v>37</v>
      </c>
      <c r="B171" s="24" t="s">
        <v>17</v>
      </c>
      <c r="C171" s="24" t="s">
        <v>26</v>
      </c>
      <c r="D171" s="25" t="n">
        <v>416326</v>
      </c>
      <c r="E171" s="24" t="n">
        <v>357</v>
      </c>
      <c r="F171" s="26" t="n">
        <v>44391.94</v>
      </c>
    </row>
    <row r="172" customFormat="false" ht="15" hidden="false" customHeight="false" outlineLevel="0" collapsed="false">
      <c r="A172" s="19" t="s">
        <v>37</v>
      </c>
      <c r="B172" s="20" t="s">
        <v>19</v>
      </c>
      <c r="C172" s="20" t="s">
        <v>28</v>
      </c>
      <c r="D172" s="21" t="n">
        <v>403151</v>
      </c>
      <c r="E172" s="20" t="n">
        <v>259</v>
      </c>
      <c r="F172" s="22" t="n">
        <v>135078.79</v>
      </c>
    </row>
    <row r="173" customFormat="false" ht="15" hidden="false" customHeight="false" outlineLevel="0" collapsed="false">
      <c r="A173" s="23" t="s">
        <v>37</v>
      </c>
      <c r="B173" s="24" t="s">
        <v>19</v>
      </c>
      <c r="C173" s="24" t="s">
        <v>25</v>
      </c>
      <c r="D173" s="25" t="n">
        <v>199143</v>
      </c>
      <c r="E173" s="24" t="n">
        <v>789</v>
      </c>
      <c r="F173" s="26" t="n">
        <v>48459.81</v>
      </c>
    </row>
    <row r="174" customFormat="false" ht="15" hidden="false" customHeight="false" outlineLevel="0" collapsed="false">
      <c r="A174" s="19" t="s">
        <v>37</v>
      </c>
      <c r="B174" s="20" t="s">
        <v>19</v>
      </c>
      <c r="C174" s="20" t="s">
        <v>27</v>
      </c>
      <c r="D174" s="21" t="n">
        <v>403824</v>
      </c>
      <c r="E174" s="20" t="n">
        <v>1056</v>
      </c>
      <c r="F174" s="22" t="n">
        <v>95465.69</v>
      </c>
    </row>
    <row r="175" customFormat="false" ht="15" hidden="false" customHeight="false" outlineLevel="0" collapsed="false">
      <c r="A175" s="23" t="s">
        <v>37</v>
      </c>
      <c r="B175" s="24" t="s">
        <v>19</v>
      </c>
      <c r="C175" s="24" t="s">
        <v>24</v>
      </c>
      <c r="D175" s="25" t="n">
        <v>301492</v>
      </c>
      <c r="E175" s="24" t="n">
        <v>1391</v>
      </c>
      <c r="F175" s="26" t="n">
        <v>59250.91</v>
      </c>
    </row>
    <row r="176" customFormat="false" ht="15" hidden="false" customHeight="false" outlineLevel="0" collapsed="false">
      <c r="A176" s="19" t="s">
        <v>37</v>
      </c>
      <c r="B176" s="20" t="s">
        <v>19</v>
      </c>
      <c r="C176" s="20" t="s">
        <v>26</v>
      </c>
      <c r="D176" s="21" t="n">
        <v>88304</v>
      </c>
      <c r="E176" s="20" t="n">
        <v>1291</v>
      </c>
      <c r="F176" s="22" t="n">
        <v>28816.92</v>
      </c>
    </row>
    <row r="177" customFormat="false" ht="15" hidden="false" customHeight="false" outlineLevel="0" collapsed="false">
      <c r="A177" s="23" t="s">
        <v>38</v>
      </c>
      <c r="B177" s="24" t="s">
        <v>18</v>
      </c>
      <c r="C177" s="24" t="s">
        <v>28</v>
      </c>
      <c r="D177" s="25" t="n">
        <v>201836</v>
      </c>
      <c r="E177" s="24" t="n">
        <v>496</v>
      </c>
      <c r="F177" s="26" t="n">
        <v>31011.55</v>
      </c>
    </row>
    <row r="178" customFormat="false" ht="15" hidden="false" customHeight="false" outlineLevel="0" collapsed="false">
      <c r="A178" s="19" t="s">
        <v>38</v>
      </c>
      <c r="B178" s="20" t="s">
        <v>18</v>
      </c>
      <c r="C178" s="20" t="s">
        <v>25</v>
      </c>
      <c r="D178" s="21" t="n">
        <v>315517</v>
      </c>
      <c r="E178" s="20" t="n">
        <v>1376</v>
      </c>
      <c r="F178" s="22" t="n">
        <v>39001.29</v>
      </c>
    </row>
    <row r="179" customFormat="false" ht="15" hidden="false" customHeight="false" outlineLevel="0" collapsed="false">
      <c r="A179" s="23" t="s">
        <v>38</v>
      </c>
      <c r="B179" s="24" t="s">
        <v>18</v>
      </c>
      <c r="C179" s="24" t="s">
        <v>27</v>
      </c>
      <c r="D179" s="25" t="n">
        <v>150386</v>
      </c>
      <c r="E179" s="24" t="n">
        <v>826</v>
      </c>
      <c r="F179" s="26" t="n">
        <v>17715.04</v>
      </c>
    </row>
    <row r="180" customFormat="false" ht="15" hidden="false" customHeight="false" outlineLevel="0" collapsed="false">
      <c r="A180" s="19" t="s">
        <v>38</v>
      </c>
      <c r="B180" s="20" t="s">
        <v>18</v>
      </c>
      <c r="C180" s="20" t="s">
        <v>24</v>
      </c>
      <c r="D180" s="21" t="n">
        <v>75351</v>
      </c>
      <c r="E180" s="20" t="n">
        <v>704</v>
      </c>
      <c r="F180" s="22" t="n">
        <v>23450.65</v>
      </c>
    </row>
    <row r="181" customFormat="false" ht="15" hidden="false" customHeight="false" outlineLevel="0" collapsed="false">
      <c r="A181" s="23" t="s">
        <v>38</v>
      </c>
      <c r="B181" s="24" t="s">
        <v>18</v>
      </c>
      <c r="C181" s="24" t="s">
        <v>26</v>
      </c>
      <c r="D181" s="25" t="n">
        <v>387497</v>
      </c>
      <c r="E181" s="24" t="n">
        <v>1121</v>
      </c>
      <c r="F181" s="26" t="n">
        <v>117650.72</v>
      </c>
    </row>
    <row r="182" customFormat="false" ht="15" hidden="false" customHeight="false" outlineLevel="0" collapsed="false">
      <c r="A182" s="19" t="s">
        <v>38</v>
      </c>
      <c r="B182" s="20" t="s">
        <v>31</v>
      </c>
      <c r="C182" s="20" t="s">
        <v>28</v>
      </c>
      <c r="D182" s="21" t="n">
        <v>332502</v>
      </c>
      <c r="E182" s="20" t="n">
        <v>1319</v>
      </c>
      <c r="F182" s="22" t="n">
        <v>90847.06</v>
      </c>
    </row>
    <row r="183" customFormat="false" ht="15" hidden="false" customHeight="false" outlineLevel="0" collapsed="false">
      <c r="A183" s="23" t="s">
        <v>38</v>
      </c>
      <c r="B183" s="24" t="s">
        <v>31</v>
      </c>
      <c r="C183" s="24" t="s">
        <v>25</v>
      </c>
      <c r="D183" s="25" t="n">
        <v>350657</v>
      </c>
      <c r="E183" s="24" t="n">
        <v>1616</v>
      </c>
      <c r="F183" s="26" t="n">
        <v>117176.26</v>
      </c>
    </row>
    <row r="184" customFormat="false" ht="15" hidden="false" customHeight="false" outlineLevel="0" collapsed="false">
      <c r="A184" s="19" t="s">
        <v>38</v>
      </c>
      <c r="B184" s="20" t="s">
        <v>31</v>
      </c>
      <c r="C184" s="20" t="s">
        <v>27</v>
      </c>
      <c r="D184" s="21" t="n">
        <v>57543</v>
      </c>
      <c r="E184" s="20" t="n">
        <v>1543</v>
      </c>
      <c r="F184" s="22" t="n">
        <v>11766.77</v>
      </c>
    </row>
    <row r="185" customFormat="false" ht="15" hidden="false" customHeight="false" outlineLevel="0" collapsed="false">
      <c r="A185" s="23" t="s">
        <v>38</v>
      </c>
      <c r="B185" s="24" t="s">
        <v>31</v>
      </c>
      <c r="C185" s="24" t="s">
        <v>24</v>
      </c>
      <c r="D185" s="25" t="n">
        <v>270156</v>
      </c>
      <c r="E185" s="24" t="n">
        <v>860</v>
      </c>
      <c r="F185" s="26" t="n">
        <v>64025.07</v>
      </c>
    </row>
    <row r="186" customFormat="false" ht="15" hidden="false" customHeight="false" outlineLevel="0" collapsed="false">
      <c r="A186" s="19" t="s">
        <v>38</v>
      </c>
      <c r="B186" s="20" t="s">
        <v>31</v>
      </c>
      <c r="C186" s="20" t="s">
        <v>26</v>
      </c>
      <c r="D186" s="21" t="n">
        <v>88756</v>
      </c>
      <c r="E186" s="20" t="n">
        <v>556</v>
      </c>
      <c r="F186" s="22" t="n">
        <v>21490.5</v>
      </c>
    </row>
    <row r="187" customFormat="false" ht="15" hidden="false" customHeight="false" outlineLevel="0" collapsed="false">
      <c r="A187" s="23" t="s">
        <v>38</v>
      </c>
      <c r="B187" s="24" t="s">
        <v>20</v>
      </c>
      <c r="C187" s="24" t="s">
        <v>28</v>
      </c>
      <c r="D187" s="25" t="n">
        <v>164352</v>
      </c>
      <c r="E187" s="24" t="n">
        <v>1222</v>
      </c>
      <c r="F187" s="26" t="n">
        <v>33388.84</v>
      </c>
    </row>
    <row r="188" customFormat="false" ht="15" hidden="false" customHeight="false" outlineLevel="0" collapsed="false">
      <c r="A188" s="19" t="s">
        <v>38</v>
      </c>
      <c r="B188" s="20" t="s">
        <v>20</v>
      </c>
      <c r="C188" s="20" t="s">
        <v>25</v>
      </c>
      <c r="D188" s="21" t="n">
        <v>349985</v>
      </c>
      <c r="E188" s="20" t="n">
        <v>1108</v>
      </c>
      <c r="F188" s="22" t="n">
        <v>102931.72</v>
      </c>
    </row>
    <row r="189" customFormat="false" ht="15" hidden="false" customHeight="false" outlineLevel="0" collapsed="false">
      <c r="A189" s="23" t="s">
        <v>38</v>
      </c>
      <c r="B189" s="24" t="s">
        <v>20</v>
      </c>
      <c r="C189" s="24" t="s">
        <v>27</v>
      </c>
      <c r="D189" s="25" t="n">
        <v>269798</v>
      </c>
      <c r="E189" s="24" t="n">
        <v>1313</v>
      </c>
      <c r="F189" s="26" t="n">
        <v>64877.43</v>
      </c>
    </row>
    <row r="190" customFormat="false" ht="15" hidden="false" customHeight="false" outlineLevel="0" collapsed="false">
      <c r="A190" s="19" t="s">
        <v>38</v>
      </c>
      <c r="B190" s="20" t="s">
        <v>20</v>
      </c>
      <c r="C190" s="20" t="s">
        <v>24</v>
      </c>
      <c r="D190" s="21" t="n">
        <v>356955</v>
      </c>
      <c r="E190" s="20" t="n">
        <v>1492</v>
      </c>
      <c r="F190" s="22" t="n">
        <v>96364</v>
      </c>
    </row>
    <row r="191" customFormat="false" ht="15" hidden="false" customHeight="false" outlineLevel="0" collapsed="false">
      <c r="A191" s="23" t="s">
        <v>38</v>
      </c>
      <c r="B191" s="24" t="s">
        <v>20</v>
      </c>
      <c r="C191" s="24" t="s">
        <v>26</v>
      </c>
      <c r="D191" s="25" t="n">
        <v>224358</v>
      </c>
      <c r="E191" s="24" t="n">
        <v>316</v>
      </c>
      <c r="F191" s="26" t="n">
        <v>35798.35</v>
      </c>
    </row>
    <row r="192" customFormat="false" ht="15" hidden="false" customHeight="false" outlineLevel="0" collapsed="false">
      <c r="A192" s="19" t="s">
        <v>38</v>
      </c>
      <c r="B192" s="20" t="s">
        <v>17</v>
      </c>
      <c r="C192" s="20" t="s">
        <v>28</v>
      </c>
      <c r="D192" s="21" t="n">
        <v>236141</v>
      </c>
      <c r="E192" s="20" t="n">
        <v>1396</v>
      </c>
      <c r="F192" s="22" t="n">
        <v>55158.26</v>
      </c>
    </row>
    <row r="193" customFormat="false" ht="15" hidden="false" customHeight="false" outlineLevel="0" collapsed="false">
      <c r="A193" s="23" t="s">
        <v>38</v>
      </c>
      <c r="B193" s="24" t="s">
        <v>17</v>
      </c>
      <c r="C193" s="24" t="s">
        <v>25</v>
      </c>
      <c r="D193" s="25" t="n">
        <v>484771</v>
      </c>
      <c r="E193" s="24" t="n">
        <v>828</v>
      </c>
      <c r="F193" s="26" t="n">
        <v>87264.79</v>
      </c>
    </row>
    <row r="194" customFormat="false" ht="15" hidden="false" customHeight="false" outlineLevel="0" collapsed="false">
      <c r="A194" s="19" t="s">
        <v>38</v>
      </c>
      <c r="B194" s="20" t="s">
        <v>17</v>
      </c>
      <c r="C194" s="20" t="s">
        <v>27</v>
      </c>
      <c r="D194" s="21" t="n">
        <v>116234</v>
      </c>
      <c r="E194" s="20" t="n">
        <v>1142</v>
      </c>
      <c r="F194" s="22" t="n">
        <v>22933.02</v>
      </c>
    </row>
    <row r="195" customFormat="false" ht="15" hidden="false" customHeight="false" outlineLevel="0" collapsed="false">
      <c r="A195" s="23" t="s">
        <v>38</v>
      </c>
      <c r="B195" s="24" t="s">
        <v>17</v>
      </c>
      <c r="C195" s="24" t="s">
        <v>24</v>
      </c>
      <c r="D195" s="25" t="n">
        <v>459995</v>
      </c>
      <c r="E195" s="24" t="n">
        <v>544</v>
      </c>
      <c r="F195" s="26" t="n">
        <v>150117.3</v>
      </c>
    </row>
    <row r="196" customFormat="false" ht="15" hidden="false" customHeight="false" outlineLevel="0" collapsed="false">
      <c r="A196" s="19" t="s">
        <v>38</v>
      </c>
      <c r="B196" s="20" t="s">
        <v>17</v>
      </c>
      <c r="C196" s="20" t="s">
        <v>26</v>
      </c>
      <c r="D196" s="21" t="n">
        <v>480155</v>
      </c>
      <c r="E196" s="20" t="n">
        <v>364</v>
      </c>
      <c r="F196" s="22" t="n">
        <v>86345.51</v>
      </c>
    </row>
    <row r="197" customFormat="false" ht="15" hidden="false" customHeight="false" outlineLevel="0" collapsed="false">
      <c r="A197" s="23" t="s">
        <v>38</v>
      </c>
      <c r="B197" s="24" t="s">
        <v>19</v>
      </c>
      <c r="C197" s="24" t="s">
        <v>28</v>
      </c>
      <c r="D197" s="25" t="n">
        <v>101934</v>
      </c>
      <c r="E197" s="24" t="n">
        <v>1507</v>
      </c>
      <c r="F197" s="26" t="n">
        <v>22489.72</v>
      </c>
    </row>
    <row r="198" customFormat="false" ht="15" hidden="false" customHeight="false" outlineLevel="0" collapsed="false">
      <c r="A198" s="19" t="s">
        <v>38</v>
      </c>
      <c r="B198" s="20" t="s">
        <v>19</v>
      </c>
      <c r="C198" s="20" t="s">
        <v>25</v>
      </c>
      <c r="D198" s="21" t="n">
        <v>55486</v>
      </c>
      <c r="E198" s="20" t="n">
        <v>243</v>
      </c>
      <c r="F198" s="22" t="n">
        <v>11769.21</v>
      </c>
    </row>
    <row r="199" customFormat="false" ht="15" hidden="false" customHeight="false" outlineLevel="0" collapsed="false">
      <c r="A199" s="23" t="s">
        <v>38</v>
      </c>
      <c r="B199" s="24" t="s">
        <v>19</v>
      </c>
      <c r="C199" s="24" t="s">
        <v>27</v>
      </c>
      <c r="D199" s="25" t="n">
        <v>152795</v>
      </c>
      <c r="E199" s="24" t="n">
        <v>1148</v>
      </c>
      <c r="F199" s="26" t="n">
        <v>36430.26</v>
      </c>
    </row>
    <row r="200" customFormat="false" ht="15" hidden="false" customHeight="false" outlineLevel="0" collapsed="false">
      <c r="A200" s="19" t="s">
        <v>38</v>
      </c>
      <c r="B200" s="20" t="s">
        <v>19</v>
      </c>
      <c r="C200" s="20" t="s">
        <v>24</v>
      </c>
      <c r="D200" s="21" t="n">
        <v>399652</v>
      </c>
      <c r="E200" s="20" t="n">
        <v>1607</v>
      </c>
      <c r="F200" s="22" t="n">
        <v>134502.34</v>
      </c>
    </row>
    <row r="201" customFormat="false" ht="15" hidden="false" customHeight="false" outlineLevel="0" collapsed="false">
      <c r="A201" s="23" t="s">
        <v>38</v>
      </c>
      <c r="B201" s="24" t="s">
        <v>19</v>
      </c>
      <c r="C201" s="24" t="s">
        <v>26</v>
      </c>
      <c r="D201" s="25" t="n">
        <v>247775</v>
      </c>
      <c r="E201" s="24" t="n">
        <v>668</v>
      </c>
      <c r="F201" s="26" t="n">
        <v>31805.92</v>
      </c>
    </row>
    <row r="202" customFormat="false" ht="15" hidden="false" customHeight="false" outlineLevel="0" collapsed="false">
      <c r="A202" s="19" t="s">
        <v>39</v>
      </c>
      <c r="B202" s="20" t="s">
        <v>18</v>
      </c>
      <c r="C202" s="20" t="s">
        <v>28</v>
      </c>
      <c r="D202" s="21" t="n">
        <v>139780</v>
      </c>
      <c r="E202" s="20" t="n">
        <v>1165</v>
      </c>
      <c r="F202" s="22" t="n">
        <v>48023.1</v>
      </c>
    </row>
    <row r="203" customFormat="false" ht="15" hidden="false" customHeight="false" outlineLevel="0" collapsed="false">
      <c r="A203" s="23" t="s">
        <v>39</v>
      </c>
      <c r="B203" s="24" t="s">
        <v>18</v>
      </c>
      <c r="C203" s="24" t="s">
        <v>25</v>
      </c>
      <c r="D203" s="25" t="n">
        <v>400605</v>
      </c>
      <c r="E203" s="24" t="n">
        <v>1346</v>
      </c>
      <c r="F203" s="26" t="n">
        <v>45656.07</v>
      </c>
    </row>
    <row r="204" customFormat="false" ht="15" hidden="false" customHeight="false" outlineLevel="0" collapsed="false">
      <c r="A204" s="19" t="s">
        <v>39</v>
      </c>
      <c r="B204" s="20" t="s">
        <v>18</v>
      </c>
      <c r="C204" s="20" t="s">
        <v>27</v>
      </c>
      <c r="D204" s="21" t="n">
        <v>466930</v>
      </c>
      <c r="E204" s="20" t="n">
        <v>1338</v>
      </c>
      <c r="F204" s="22" t="n">
        <v>110419.11</v>
      </c>
    </row>
    <row r="205" customFormat="false" ht="15" hidden="false" customHeight="false" outlineLevel="0" collapsed="false">
      <c r="A205" s="23" t="s">
        <v>39</v>
      </c>
      <c r="B205" s="24" t="s">
        <v>18</v>
      </c>
      <c r="C205" s="24" t="s">
        <v>24</v>
      </c>
      <c r="D205" s="25" t="n">
        <v>139930</v>
      </c>
      <c r="E205" s="24" t="n">
        <v>757</v>
      </c>
      <c r="F205" s="26" t="n">
        <v>47878.87</v>
      </c>
    </row>
    <row r="206" customFormat="false" ht="15" hidden="false" customHeight="false" outlineLevel="0" collapsed="false">
      <c r="A206" s="19" t="s">
        <v>39</v>
      </c>
      <c r="B206" s="20" t="s">
        <v>18</v>
      </c>
      <c r="C206" s="20" t="s">
        <v>26</v>
      </c>
      <c r="D206" s="21" t="n">
        <v>229208</v>
      </c>
      <c r="E206" s="20" t="n">
        <v>1197</v>
      </c>
      <c r="F206" s="22" t="n">
        <v>70880.5</v>
      </c>
    </row>
    <row r="207" customFormat="false" ht="15" hidden="false" customHeight="false" outlineLevel="0" collapsed="false">
      <c r="A207" s="23" t="s">
        <v>39</v>
      </c>
      <c r="B207" s="24" t="s">
        <v>31</v>
      </c>
      <c r="C207" s="24" t="s">
        <v>28</v>
      </c>
      <c r="D207" s="25" t="n">
        <v>253664</v>
      </c>
      <c r="E207" s="24" t="n">
        <v>1376</v>
      </c>
      <c r="F207" s="26" t="n">
        <v>78539.5</v>
      </c>
    </row>
    <row r="208" customFormat="false" ht="15" hidden="false" customHeight="false" outlineLevel="0" collapsed="false">
      <c r="A208" s="19" t="s">
        <v>39</v>
      </c>
      <c r="B208" s="20" t="s">
        <v>31</v>
      </c>
      <c r="C208" s="20" t="s">
        <v>25</v>
      </c>
      <c r="D208" s="21" t="n">
        <v>333821</v>
      </c>
      <c r="E208" s="20" t="n">
        <v>1776</v>
      </c>
      <c r="F208" s="22" t="n">
        <v>51957.27</v>
      </c>
    </row>
    <row r="209" customFormat="false" ht="15" hidden="false" customHeight="false" outlineLevel="0" collapsed="false">
      <c r="A209" s="23" t="s">
        <v>39</v>
      </c>
      <c r="B209" s="24" t="s">
        <v>31</v>
      </c>
      <c r="C209" s="24" t="s">
        <v>27</v>
      </c>
      <c r="D209" s="25" t="n">
        <v>243928</v>
      </c>
      <c r="E209" s="24" t="n">
        <v>1045</v>
      </c>
      <c r="F209" s="26" t="n">
        <v>78782.46</v>
      </c>
    </row>
    <row r="210" customFormat="false" ht="15" hidden="false" customHeight="false" outlineLevel="0" collapsed="false">
      <c r="A210" s="19" t="s">
        <v>39</v>
      </c>
      <c r="B210" s="20" t="s">
        <v>31</v>
      </c>
      <c r="C210" s="20" t="s">
        <v>24</v>
      </c>
      <c r="D210" s="21" t="n">
        <v>264532</v>
      </c>
      <c r="E210" s="20" t="n">
        <v>128</v>
      </c>
      <c r="F210" s="22" t="n">
        <v>32063.77</v>
      </c>
    </row>
    <row r="211" customFormat="false" ht="15" hidden="false" customHeight="false" outlineLevel="0" collapsed="false">
      <c r="A211" s="23" t="s">
        <v>39</v>
      </c>
      <c r="B211" s="24" t="s">
        <v>31</v>
      </c>
      <c r="C211" s="24" t="s">
        <v>26</v>
      </c>
      <c r="D211" s="25" t="n">
        <v>339106</v>
      </c>
      <c r="E211" s="24" t="n">
        <v>1771</v>
      </c>
      <c r="F211" s="26" t="n">
        <v>65639.97</v>
      </c>
    </row>
    <row r="212" customFormat="false" ht="15" hidden="false" customHeight="false" outlineLevel="0" collapsed="false">
      <c r="A212" s="19" t="s">
        <v>39</v>
      </c>
      <c r="B212" s="20" t="s">
        <v>20</v>
      </c>
      <c r="C212" s="20" t="s">
        <v>28</v>
      </c>
      <c r="D212" s="21" t="n">
        <v>207504</v>
      </c>
      <c r="E212" s="20" t="n">
        <v>1465</v>
      </c>
      <c r="F212" s="22" t="n">
        <v>62915.19</v>
      </c>
    </row>
    <row r="213" customFormat="false" ht="15" hidden="false" customHeight="false" outlineLevel="0" collapsed="false">
      <c r="A213" s="23" t="s">
        <v>39</v>
      </c>
      <c r="B213" s="24" t="s">
        <v>20</v>
      </c>
      <c r="C213" s="24" t="s">
        <v>25</v>
      </c>
      <c r="D213" s="25" t="n">
        <v>483478</v>
      </c>
      <c r="E213" s="24" t="n">
        <v>316</v>
      </c>
      <c r="F213" s="26" t="n">
        <v>119889.1</v>
      </c>
    </row>
    <row r="214" customFormat="false" ht="15" hidden="false" customHeight="false" outlineLevel="0" collapsed="false">
      <c r="A214" s="19" t="s">
        <v>39</v>
      </c>
      <c r="B214" s="20" t="s">
        <v>20</v>
      </c>
      <c r="C214" s="20" t="s">
        <v>27</v>
      </c>
      <c r="D214" s="21" t="n">
        <v>216981</v>
      </c>
      <c r="E214" s="20" t="n">
        <v>1375</v>
      </c>
      <c r="F214" s="22" t="n">
        <v>26227.62</v>
      </c>
    </row>
    <row r="215" customFormat="false" ht="15" hidden="false" customHeight="false" outlineLevel="0" collapsed="false">
      <c r="A215" s="23" t="s">
        <v>39</v>
      </c>
      <c r="B215" s="24" t="s">
        <v>20</v>
      </c>
      <c r="C215" s="24" t="s">
        <v>24</v>
      </c>
      <c r="D215" s="25" t="n">
        <v>253196</v>
      </c>
      <c r="E215" s="24" t="n">
        <v>975</v>
      </c>
      <c r="F215" s="26" t="n">
        <v>60666.03</v>
      </c>
    </row>
    <row r="216" customFormat="false" ht="15" hidden="false" customHeight="false" outlineLevel="0" collapsed="false">
      <c r="A216" s="19" t="s">
        <v>39</v>
      </c>
      <c r="B216" s="20" t="s">
        <v>20</v>
      </c>
      <c r="C216" s="20" t="s">
        <v>26</v>
      </c>
      <c r="D216" s="21" t="n">
        <v>168874</v>
      </c>
      <c r="E216" s="20" t="n">
        <v>813</v>
      </c>
      <c r="F216" s="22" t="n">
        <v>55152.32</v>
      </c>
    </row>
    <row r="217" customFormat="false" ht="15" hidden="false" customHeight="false" outlineLevel="0" collapsed="false">
      <c r="A217" s="23" t="s">
        <v>39</v>
      </c>
      <c r="B217" s="24" t="s">
        <v>17</v>
      </c>
      <c r="C217" s="24" t="s">
        <v>28</v>
      </c>
      <c r="D217" s="25" t="n">
        <v>65485</v>
      </c>
      <c r="E217" s="24" t="n">
        <v>1574</v>
      </c>
      <c r="F217" s="26" t="n">
        <v>10701.59</v>
      </c>
    </row>
    <row r="218" customFormat="false" ht="15" hidden="false" customHeight="false" outlineLevel="0" collapsed="false">
      <c r="A218" s="19" t="s">
        <v>39</v>
      </c>
      <c r="B218" s="20" t="s">
        <v>17</v>
      </c>
      <c r="C218" s="20" t="s">
        <v>25</v>
      </c>
      <c r="D218" s="21" t="n">
        <v>267841</v>
      </c>
      <c r="E218" s="20" t="n">
        <v>1343</v>
      </c>
      <c r="F218" s="22" t="n">
        <v>65050.08</v>
      </c>
    </row>
    <row r="219" customFormat="false" ht="15" hidden="false" customHeight="false" outlineLevel="0" collapsed="false">
      <c r="A219" s="23" t="s">
        <v>39</v>
      </c>
      <c r="B219" s="24" t="s">
        <v>17</v>
      </c>
      <c r="C219" s="24" t="s">
        <v>27</v>
      </c>
      <c r="D219" s="25" t="n">
        <v>80355</v>
      </c>
      <c r="E219" s="24" t="n">
        <v>575</v>
      </c>
      <c r="F219" s="26" t="n">
        <v>23447.49</v>
      </c>
    </row>
    <row r="220" customFormat="false" ht="15" hidden="false" customHeight="false" outlineLevel="0" collapsed="false">
      <c r="A220" s="19" t="s">
        <v>39</v>
      </c>
      <c r="B220" s="20" t="s">
        <v>17</v>
      </c>
      <c r="C220" s="20" t="s">
        <v>24</v>
      </c>
      <c r="D220" s="21" t="n">
        <v>206542</v>
      </c>
      <c r="E220" s="20" t="n">
        <v>1484</v>
      </c>
      <c r="F220" s="22" t="n">
        <v>59081.94</v>
      </c>
    </row>
    <row r="221" customFormat="false" ht="15" hidden="false" customHeight="false" outlineLevel="0" collapsed="false">
      <c r="A221" s="23" t="s">
        <v>39</v>
      </c>
      <c r="B221" s="24" t="s">
        <v>17</v>
      </c>
      <c r="C221" s="24" t="s">
        <v>26</v>
      </c>
      <c r="D221" s="25" t="n">
        <v>89298</v>
      </c>
      <c r="E221" s="24" t="n">
        <v>447</v>
      </c>
      <c r="F221" s="26" t="n">
        <v>30409.82</v>
      </c>
    </row>
    <row r="222" customFormat="false" ht="15" hidden="false" customHeight="false" outlineLevel="0" collapsed="false">
      <c r="A222" s="19" t="s">
        <v>39</v>
      </c>
      <c r="B222" s="20" t="s">
        <v>19</v>
      </c>
      <c r="C222" s="20" t="s">
        <v>28</v>
      </c>
      <c r="D222" s="21" t="n">
        <v>280907</v>
      </c>
      <c r="E222" s="20" t="n">
        <v>1492</v>
      </c>
      <c r="F222" s="22" t="n">
        <v>33911.89</v>
      </c>
    </row>
    <row r="223" customFormat="false" ht="15" hidden="false" customHeight="false" outlineLevel="0" collapsed="false">
      <c r="A223" s="23" t="s">
        <v>39</v>
      </c>
      <c r="B223" s="24" t="s">
        <v>19</v>
      </c>
      <c r="C223" s="24" t="s">
        <v>25</v>
      </c>
      <c r="D223" s="25" t="n">
        <v>263920</v>
      </c>
      <c r="E223" s="24" t="n">
        <v>1033</v>
      </c>
      <c r="F223" s="26" t="n">
        <v>55181.44</v>
      </c>
    </row>
    <row r="224" customFormat="false" ht="15" hidden="false" customHeight="false" outlineLevel="0" collapsed="false">
      <c r="A224" s="19" t="s">
        <v>39</v>
      </c>
      <c r="B224" s="20" t="s">
        <v>19</v>
      </c>
      <c r="C224" s="20" t="s">
        <v>27</v>
      </c>
      <c r="D224" s="21" t="n">
        <v>348539</v>
      </c>
      <c r="E224" s="20" t="n">
        <v>784</v>
      </c>
      <c r="F224" s="22" t="n">
        <v>119364.05</v>
      </c>
    </row>
    <row r="225" customFormat="false" ht="15" hidden="false" customHeight="false" outlineLevel="0" collapsed="false">
      <c r="A225" s="23" t="s">
        <v>39</v>
      </c>
      <c r="B225" s="24" t="s">
        <v>19</v>
      </c>
      <c r="C225" s="24" t="s">
        <v>24</v>
      </c>
      <c r="D225" s="25" t="n">
        <v>346764</v>
      </c>
      <c r="E225" s="24" t="n">
        <v>914</v>
      </c>
      <c r="F225" s="26" t="n">
        <v>111930.49</v>
      </c>
    </row>
    <row r="226" customFormat="false" ht="15" hidden="false" customHeight="false" outlineLevel="0" collapsed="false">
      <c r="A226" s="19" t="s">
        <v>39</v>
      </c>
      <c r="B226" s="20" t="s">
        <v>19</v>
      </c>
      <c r="C226" s="20" t="s">
        <v>26</v>
      </c>
      <c r="D226" s="21" t="n">
        <v>405540</v>
      </c>
      <c r="E226" s="20" t="n">
        <v>302</v>
      </c>
      <c r="F226" s="22" t="n">
        <v>133738.55</v>
      </c>
    </row>
    <row r="227" customFormat="false" ht="15" hidden="false" customHeight="false" outlineLevel="0" collapsed="false">
      <c r="A227" s="23" t="s">
        <v>40</v>
      </c>
      <c r="B227" s="24" t="s">
        <v>18</v>
      </c>
      <c r="C227" s="24" t="s">
        <v>28</v>
      </c>
      <c r="D227" s="25" t="n">
        <v>309747</v>
      </c>
      <c r="E227" s="24" t="n">
        <v>1350</v>
      </c>
      <c r="F227" s="26" t="n">
        <v>84825.08</v>
      </c>
    </row>
    <row r="228" customFormat="false" ht="15" hidden="false" customHeight="false" outlineLevel="0" collapsed="false">
      <c r="A228" s="19" t="s">
        <v>40</v>
      </c>
      <c r="B228" s="20" t="s">
        <v>18</v>
      </c>
      <c r="C228" s="20" t="s">
        <v>25</v>
      </c>
      <c r="D228" s="21" t="n">
        <v>164065</v>
      </c>
      <c r="E228" s="20" t="n">
        <v>146</v>
      </c>
      <c r="F228" s="22" t="n">
        <v>42222.07</v>
      </c>
    </row>
    <row r="229" customFormat="false" ht="15" hidden="false" customHeight="false" outlineLevel="0" collapsed="false">
      <c r="A229" s="23" t="s">
        <v>40</v>
      </c>
      <c r="B229" s="24" t="s">
        <v>18</v>
      </c>
      <c r="C229" s="24" t="s">
        <v>27</v>
      </c>
      <c r="D229" s="25" t="n">
        <v>350557</v>
      </c>
      <c r="E229" s="24" t="n">
        <v>1266</v>
      </c>
      <c r="F229" s="26" t="n">
        <v>74891.34</v>
      </c>
    </row>
    <row r="230" customFormat="false" ht="15" hidden="false" customHeight="false" outlineLevel="0" collapsed="false">
      <c r="A230" s="19" t="s">
        <v>40</v>
      </c>
      <c r="B230" s="20" t="s">
        <v>18</v>
      </c>
      <c r="C230" s="20" t="s">
        <v>24</v>
      </c>
      <c r="D230" s="21" t="n">
        <v>160133</v>
      </c>
      <c r="E230" s="20" t="n">
        <v>1382</v>
      </c>
      <c r="F230" s="22" t="n">
        <v>52089.58</v>
      </c>
    </row>
    <row r="231" customFormat="false" ht="15" hidden="false" customHeight="false" outlineLevel="0" collapsed="false">
      <c r="A231" s="23" t="s">
        <v>40</v>
      </c>
      <c r="B231" s="24" t="s">
        <v>18</v>
      </c>
      <c r="C231" s="24" t="s">
        <v>26</v>
      </c>
      <c r="D231" s="25" t="n">
        <v>205576</v>
      </c>
      <c r="E231" s="24" t="n">
        <v>1070</v>
      </c>
      <c r="F231" s="26" t="n">
        <v>34997.42</v>
      </c>
    </row>
    <row r="232" customFormat="false" ht="15" hidden="false" customHeight="false" outlineLevel="0" collapsed="false">
      <c r="A232" s="19" t="s">
        <v>40</v>
      </c>
      <c r="B232" s="20" t="s">
        <v>31</v>
      </c>
      <c r="C232" s="20" t="s">
        <v>28</v>
      </c>
      <c r="D232" s="21" t="n">
        <v>454191</v>
      </c>
      <c r="E232" s="20" t="n">
        <v>883</v>
      </c>
      <c r="F232" s="22" t="n">
        <v>146506.55</v>
      </c>
    </row>
    <row r="233" customFormat="false" ht="15" hidden="false" customHeight="false" outlineLevel="0" collapsed="false">
      <c r="A233" s="23" t="s">
        <v>40</v>
      </c>
      <c r="B233" s="24" t="s">
        <v>31</v>
      </c>
      <c r="C233" s="24" t="s">
        <v>25</v>
      </c>
      <c r="D233" s="25" t="n">
        <v>438043</v>
      </c>
      <c r="E233" s="24" t="n">
        <v>1531</v>
      </c>
      <c r="F233" s="26" t="n">
        <v>111715.49</v>
      </c>
    </row>
    <row r="234" customFormat="false" ht="15" hidden="false" customHeight="false" outlineLevel="0" collapsed="false">
      <c r="A234" s="19" t="s">
        <v>40</v>
      </c>
      <c r="B234" s="20" t="s">
        <v>31</v>
      </c>
      <c r="C234" s="20" t="s">
        <v>27</v>
      </c>
      <c r="D234" s="21" t="n">
        <v>210775</v>
      </c>
      <c r="E234" s="20" t="n">
        <v>1245</v>
      </c>
      <c r="F234" s="22" t="n">
        <v>30990.31</v>
      </c>
    </row>
    <row r="235" customFormat="false" ht="15" hidden="false" customHeight="false" outlineLevel="0" collapsed="false">
      <c r="A235" s="23" t="s">
        <v>40</v>
      </c>
      <c r="B235" s="24" t="s">
        <v>31</v>
      </c>
      <c r="C235" s="24" t="s">
        <v>24</v>
      </c>
      <c r="D235" s="25" t="n">
        <v>373673</v>
      </c>
      <c r="E235" s="24" t="n">
        <v>1771</v>
      </c>
      <c r="F235" s="26" t="n">
        <v>70376.85</v>
      </c>
    </row>
    <row r="236" customFormat="false" ht="15" hidden="false" customHeight="false" outlineLevel="0" collapsed="false">
      <c r="A236" s="19" t="s">
        <v>40</v>
      </c>
      <c r="B236" s="20" t="s">
        <v>31</v>
      </c>
      <c r="C236" s="20" t="s">
        <v>26</v>
      </c>
      <c r="D236" s="21" t="n">
        <v>212993</v>
      </c>
      <c r="E236" s="20" t="n">
        <v>639</v>
      </c>
      <c r="F236" s="22" t="n">
        <v>25438.53</v>
      </c>
    </row>
    <row r="237" customFormat="false" ht="15" hidden="false" customHeight="false" outlineLevel="0" collapsed="false">
      <c r="A237" s="23" t="s">
        <v>40</v>
      </c>
      <c r="B237" s="24" t="s">
        <v>20</v>
      </c>
      <c r="C237" s="24" t="s">
        <v>28</v>
      </c>
      <c r="D237" s="25" t="n">
        <v>177016</v>
      </c>
      <c r="E237" s="24" t="n">
        <v>839</v>
      </c>
      <c r="F237" s="26" t="n">
        <v>61345.37</v>
      </c>
    </row>
    <row r="238" customFormat="false" ht="15" hidden="false" customHeight="false" outlineLevel="0" collapsed="false">
      <c r="A238" s="19" t="s">
        <v>40</v>
      </c>
      <c r="B238" s="20" t="s">
        <v>20</v>
      </c>
      <c r="C238" s="20" t="s">
        <v>25</v>
      </c>
      <c r="D238" s="21" t="n">
        <v>228677</v>
      </c>
      <c r="E238" s="20" t="n">
        <v>1058</v>
      </c>
      <c r="F238" s="22" t="n">
        <v>53515.93</v>
      </c>
    </row>
    <row r="239" customFormat="false" ht="15" hidden="false" customHeight="false" outlineLevel="0" collapsed="false">
      <c r="A239" s="23" t="s">
        <v>40</v>
      </c>
      <c r="B239" s="24" t="s">
        <v>20</v>
      </c>
      <c r="C239" s="24" t="s">
        <v>27</v>
      </c>
      <c r="D239" s="25" t="n">
        <v>390896</v>
      </c>
      <c r="E239" s="24" t="n">
        <v>1847</v>
      </c>
      <c r="F239" s="26" t="n">
        <v>97995.86</v>
      </c>
    </row>
    <row r="240" customFormat="false" ht="15" hidden="false" customHeight="false" outlineLevel="0" collapsed="false">
      <c r="A240" s="19" t="s">
        <v>40</v>
      </c>
      <c r="B240" s="20" t="s">
        <v>20</v>
      </c>
      <c r="C240" s="20" t="s">
        <v>24</v>
      </c>
      <c r="D240" s="21" t="n">
        <v>409151</v>
      </c>
      <c r="E240" s="20" t="n">
        <v>1024</v>
      </c>
      <c r="F240" s="22" t="n">
        <v>54538.31</v>
      </c>
    </row>
    <row r="241" customFormat="false" ht="15" hidden="false" customHeight="false" outlineLevel="0" collapsed="false">
      <c r="A241" s="23" t="s">
        <v>40</v>
      </c>
      <c r="B241" s="24" t="s">
        <v>20</v>
      </c>
      <c r="C241" s="24" t="s">
        <v>26</v>
      </c>
      <c r="D241" s="25" t="n">
        <v>172402</v>
      </c>
      <c r="E241" s="24" t="n">
        <v>1376</v>
      </c>
      <c r="F241" s="26" t="n">
        <v>57777.59</v>
      </c>
    </row>
    <row r="242" customFormat="false" ht="15" hidden="false" customHeight="false" outlineLevel="0" collapsed="false">
      <c r="A242" s="19" t="s">
        <v>40</v>
      </c>
      <c r="B242" s="20" t="s">
        <v>17</v>
      </c>
      <c r="C242" s="20" t="s">
        <v>28</v>
      </c>
      <c r="D242" s="21" t="n">
        <v>106178</v>
      </c>
      <c r="E242" s="20" t="n">
        <v>355</v>
      </c>
      <c r="F242" s="22" t="n">
        <v>26044.47</v>
      </c>
    </row>
    <row r="243" customFormat="false" ht="15" hidden="false" customHeight="false" outlineLevel="0" collapsed="false">
      <c r="A243" s="23" t="s">
        <v>40</v>
      </c>
      <c r="B243" s="24" t="s">
        <v>17</v>
      </c>
      <c r="C243" s="24" t="s">
        <v>25</v>
      </c>
      <c r="D243" s="25" t="n">
        <v>179473</v>
      </c>
      <c r="E243" s="24" t="n">
        <v>109</v>
      </c>
      <c r="F243" s="26" t="n">
        <v>59797.19</v>
      </c>
    </row>
    <row r="244" customFormat="false" ht="15" hidden="false" customHeight="false" outlineLevel="0" collapsed="false">
      <c r="A244" s="19" t="s">
        <v>40</v>
      </c>
      <c r="B244" s="20" t="s">
        <v>17</v>
      </c>
      <c r="C244" s="20" t="s">
        <v>27</v>
      </c>
      <c r="D244" s="21" t="n">
        <v>467009</v>
      </c>
      <c r="E244" s="20" t="n">
        <v>1374</v>
      </c>
      <c r="F244" s="22" t="n">
        <v>51980.28</v>
      </c>
    </row>
    <row r="245" customFormat="false" ht="15" hidden="false" customHeight="false" outlineLevel="0" collapsed="false">
      <c r="A245" s="23" t="s">
        <v>40</v>
      </c>
      <c r="B245" s="24" t="s">
        <v>17</v>
      </c>
      <c r="C245" s="24" t="s">
        <v>24</v>
      </c>
      <c r="D245" s="25" t="n">
        <v>51015</v>
      </c>
      <c r="E245" s="24" t="n">
        <v>1924</v>
      </c>
      <c r="F245" s="26" t="n">
        <v>15018.85</v>
      </c>
    </row>
    <row r="246" customFormat="false" ht="15" hidden="false" customHeight="false" outlineLevel="0" collapsed="false">
      <c r="A246" s="19" t="s">
        <v>40</v>
      </c>
      <c r="B246" s="20" t="s">
        <v>17</v>
      </c>
      <c r="C246" s="20" t="s">
        <v>26</v>
      </c>
      <c r="D246" s="21" t="n">
        <v>150497</v>
      </c>
      <c r="E246" s="20" t="n">
        <v>323</v>
      </c>
      <c r="F246" s="22" t="n">
        <v>52120.35</v>
      </c>
    </row>
    <row r="247" customFormat="false" ht="15" hidden="false" customHeight="false" outlineLevel="0" collapsed="false">
      <c r="A247" s="23" t="s">
        <v>40</v>
      </c>
      <c r="B247" s="24" t="s">
        <v>19</v>
      </c>
      <c r="C247" s="24" t="s">
        <v>28</v>
      </c>
      <c r="D247" s="25" t="n">
        <v>178778</v>
      </c>
      <c r="E247" s="24" t="n">
        <v>952</v>
      </c>
      <c r="F247" s="26" t="n">
        <v>51379.83</v>
      </c>
    </row>
    <row r="248" customFormat="false" ht="15" hidden="false" customHeight="false" outlineLevel="0" collapsed="false">
      <c r="A248" s="19" t="s">
        <v>40</v>
      </c>
      <c r="B248" s="20" t="s">
        <v>19</v>
      </c>
      <c r="C248" s="20" t="s">
        <v>25</v>
      </c>
      <c r="D248" s="21" t="n">
        <v>243752</v>
      </c>
      <c r="E248" s="20" t="n">
        <v>1977</v>
      </c>
      <c r="F248" s="22" t="n">
        <v>74902.81</v>
      </c>
    </row>
    <row r="249" customFormat="false" ht="15" hidden="false" customHeight="false" outlineLevel="0" collapsed="false">
      <c r="A249" s="23" t="s">
        <v>40</v>
      </c>
      <c r="B249" s="24" t="s">
        <v>19</v>
      </c>
      <c r="C249" s="24" t="s">
        <v>27</v>
      </c>
      <c r="D249" s="25" t="n">
        <v>358684</v>
      </c>
      <c r="E249" s="24" t="n">
        <v>1733</v>
      </c>
      <c r="F249" s="26" t="n">
        <v>39170.25</v>
      </c>
    </row>
    <row r="250" customFormat="false" ht="15" hidden="false" customHeight="false" outlineLevel="0" collapsed="false">
      <c r="A250" s="19" t="s">
        <v>40</v>
      </c>
      <c r="B250" s="20" t="s">
        <v>19</v>
      </c>
      <c r="C250" s="20" t="s">
        <v>24</v>
      </c>
      <c r="D250" s="21" t="n">
        <v>320846</v>
      </c>
      <c r="E250" s="20" t="n">
        <v>484</v>
      </c>
      <c r="F250" s="22" t="n">
        <v>33181.25</v>
      </c>
    </row>
    <row r="251" customFormat="false" ht="15" hidden="false" customHeight="false" outlineLevel="0" collapsed="false">
      <c r="A251" s="23" t="s">
        <v>40</v>
      </c>
      <c r="B251" s="24" t="s">
        <v>19</v>
      </c>
      <c r="C251" s="24" t="s">
        <v>26</v>
      </c>
      <c r="D251" s="25" t="n">
        <v>228998</v>
      </c>
      <c r="E251" s="24" t="n">
        <v>617</v>
      </c>
      <c r="F251" s="26" t="n">
        <v>62500.1</v>
      </c>
    </row>
    <row r="252" customFormat="false" ht="15" hidden="false" customHeight="false" outlineLevel="0" collapsed="false">
      <c r="A252" s="19" t="s">
        <v>41</v>
      </c>
      <c r="B252" s="20" t="s">
        <v>18</v>
      </c>
      <c r="C252" s="20" t="s">
        <v>28</v>
      </c>
      <c r="D252" s="21" t="n">
        <v>241172</v>
      </c>
      <c r="E252" s="20" t="n">
        <v>1986</v>
      </c>
      <c r="F252" s="22" t="n">
        <v>69331.57</v>
      </c>
    </row>
    <row r="253" customFormat="false" ht="15" hidden="false" customHeight="false" outlineLevel="0" collapsed="false">
      <c r="A253" s="23" t="s">
        <v>41</v>
      </c>
      <c r="B253" s="24" t="s">
        <v>18</v>
      </c>
      <c r="C253" s="24" t="s">
        <v>25</v>
      </c>
      <c r="D253" s="25" t="n">
        <v>392786</v>
      </c>
      <c r="E253" s="24" t="n">
        <v>1560</v>
      </c>
      <c r="F253" s="26" t="n">
        <v>96738.24</v>
      </c>
    </row>
    <row r="254" customFormat="false" ht="15" hidden="false" customHeight="false" outlineLevel="0" collapsed="false">
      <c r="A254" s="19" t="s">
        <v>41</v>
      </c>
      <c r="B254" s="20" t="s">
        <v>18</v>
      </c>
      <c r="C254" s="20" t="s">
        <v>27</v>
      </c>
      <c r="D254" s="21" t="n">
        <v>250244</v>
      </c>
      <c r="E254" s="20" t="n">
        <v>776</v>
      </c>
      <c r="F254" s="22" t="n">
        <v>72388.16</v>
      </c>
    </row>
    <row r="255" customFormat="false" ht="15" hidden="false" customHeight="false" outlineLevel="0" collapsed="false">
      <c r="A255" s="23" t="s">
        <v>41</v>
      </c>
      <c r="B255" s="24" t="s">
        <v>18</v>
      </c>
      <c r="C255" s="24" t="s">
        <v>24</v>
      </c>
      <c r="D255" s="25" t="n">
        <v>234402</v>
      </c>
      <c r="E255" s="24" t="n">
        <v>1268</v>
      </c>
      <c r="F255" s="26" t="n">
        <v>37567.89</v>
      </c>
    </row>
    <row r="256" customFormat="false" ht="15" hidden="false" customHeight="false" outlineLevel="0" collapsed="false">
      <c r="A256" s="19" t="s">
        <v>41</v>
      </c>
      <c r="B256" s="20" t="s">
        <v>18</v>
      </c>
      <c r="C256" s="20" t="s">
        <v>26</v>
      </c>
      <c r="D256" s="21" t="n">
        <v>433432</v>
      </c>
      <c r="E256" s="20" t="n">
        <v>100</v>
      </c>
      <c r="F256" s="22" t="n">
        <v>146722.26</v>
      </c>
    </row>
    <row r="257" customFormat="false" ht="15" hidden="false" customHeight="false" outlineLevel="0" collapsed="false">
      <c r="A257" s="23" t="s">
        <v>41</v>
      </c>
      <c r="B257" s="24" t="s">
        <v>31</v>
      </c>
      <c r="C257" s="24" t="s">
        <v>28</v>
      </c>
      <c r="D257" s="25" t="n">
        <v>460316</v>
      </c>
      <c r="E257" s="24" t="n">
        <v>1895</v>
      </c>
      <c r="F257" s="26" t="n">
        <v>72343.59</v>
      </c>
    </row>
    <row r="258" customFormat="false" ht="15" hidden="false" customHeight="false" outlineLevel="0" collapsed="false">
      <c r="A258" s="19" t="s">
        <v>41</v>
      </c>
      <c r="B258" s="20" t="s">
        <v>31</v>
      </c>
      <c r="C258" s="20" t="s">
        <v>25</v>
      </c>
      <c r="D258" s="21" t="n">
        <v>349888</v>
      </c>
      <c r="E258" s="20" t="n">
        <v>587</v>
      </c>
      <c r="F258" s="22" t="n">
        <v>89057.71</v>
      </c>
    </row>
    <row r="259" customFormat="false" ht="15" hidden="false" customHeight="false" outlineLevel="0" collapsed="false">
      <c r="A259" s="23" t="s">
        <v>41</v>
      </c>
      <c r="B259" s="24" t="s">
        <v>31</v>
      </c>
      <c r="C259" s="24" t="s">
        <v>27</v>
      </c>
      <c r="D259" s="25" t="n">
        <v>86187</v>
      </c>
      <c r="E259" s="24" t="n">
        <v>194</v>
      </c>
      <c r="F259" s="26" t="n">
        <v>11065.5</v>
      </c>
    </row>
    <row r="260" customFormat="false" ht="15" hidden="false" customHeight="false" outlineLevel="0" collapsed="false">
      <c r="A260" s="19" t="s">
        <v>41</v>
      </c>
      <c r="B260" s="20" t="s">
        <v>31</v>
      </c>
      <c r="C260" s="20" t="s">
        <v>24</v>
      </c>
      <c r="D260" s="21" t="n">
        <v>326633</v>
      </c>
      <c r="E260" s="20" t="n">
        <v>349</v>
      </c>
      <c r="F260" s="22" t="n">
        <v>75150.72</v>
      </c>
    </row>
    <row r="261" customFormat="false" ht="15" hidden="false" customHeight="false" outlineLevel="0" collapsed="false">
      <c r="A261" s="23" t="s">
        <v>41</v>
      </c>
      <c r="B261" s="24" t="s">
        <v>31</v>
      </c>
      <c r="C261" s="24" t="s">
        <v>26</v>
      </c>
      <c r="D261" s="25" t="n">
        <v>486341</v>
      </c>
      <c r="E261" s="24" t="n">
        <v>870</v>
      </c>
      <c r="F261" s="26" t="n">
        <v>111878.31</v>
      </c>
    </row>
    <row r="262" customFormat="false" ht="15" hidden="false" customHeight="false" outlineLevel="0" collapsed="false">
      <c r="A262" s="19" t="s">
        <v>41</v>
      </c>
      <c r="B262" s="20" t="s">
        <v>20</v>
      </c>
      <c r="C262" s="20" t="s">
        <v>28</v>
      </c>
      <c r="D262" s="21" t="n">
        <v>87131</v>
      </c>
      <c r="E262" s="20" t="n">
        <v>1177</v>
      </c>
      <c r="F262" s="22" t="n">
        <v>29798.23</v>
      </c>
    </row>
    <row r="263" customFormat="false" ht="15" hidden="false" customHeight="false" outlineLevel="0" collapsed="false">
      <c r="A263" s="23" t="s">
        <v>41</v>
      </c>
      <c r="B263" s="24" t="s">
        <v>20</v>
      </c>
      <c r="C263" s="24" t="s">
        <v>25</v>
      </c>
      <c r="D263" s="25" t="n">
        <v>175917</v>
      </c>
      <c r="E263" s="24" t="n">
        <v>1857</v>
      </c>
      <c r="F263" s="26" t="n">
        <v>52415.25</v>
      </c>
    </row>
    <row r="264" customFormat="false" ht="15" hidden="false" customHeight="false" outlineLevel="0" collapsed="false">
      <c r="A264" s="19" t="s">
        <v>41</v>
      </c>
      <c r="B264" s="20" t="s">
        <v>20</v>
      </c>
      <c r="C264" s="20" t="s">
        <v>27</v>
      </c>
      <c r="D264" s="21" t="n">
        <v>497087</v>
      </c>
      <c r="E264" s="20" t="n">
        <v>866</v>
      </c>
      <c r="F264" s="22" t="n">
        <v>53285.57</v>
      </c>
    </row>
    <row r="265" customFormat="false" ht="15" hidden="false" customHeight="false" outlineLevel="0" collapsed="false">
      <c r="A265" s="23" t="s">
        <v>41</v>
      </c>
      <c r="B265" s="24" t="s">
        <v>20</v>
      </c>
      <c r="C265" s="24" t="s">
        <v>24</v>
      </c>
      <c r="D265" s="25" t="n">
        <v>94238</v>
      </c>
      <c r="E265" s="24" t="n">
        <v>1352</v>
      </c>
      <c r="F265" s="26" t="n">
        <v>24037.98</v>
      </c>
    </row>
    <row r="266" customFormat="false" ht="15" hidden="false" customHeight="false" outlineLevel="0" collapsed="false">
      <c r="A266" s="19" t="s">
        <v>41</v>
      </c>
      <c r="B266" s="20" t="s">
        <v>20</v>
      </c>
      <c r="C266" s="20" t="s">
        <v>26</v>
      </c>
      <c r="D266" s="21" t="n">
        <v>480657</v>
      </c>
      <c r="E266" s="20" t="n">
        <v>174</v>
      </c>
      <c r="F266" s="22" t="n">
        <v>73656.38</v>
      </c>
    </row>
    <row r="267" customFormat="false" ht="15" hidden="false" customHeight="false" outlineLevel="0" collapsed="false">
      <c r="A267" s="23" t="s">
        <v>41</v>
      </c>
      <c r="B267" s="24" t="s">
        <v>17</v>
      </c>
      <c r="C267" s="24" t="s">
        <v>28</v>
      </c>
      <c r="D267" s="25" t="n">
        <v>131317</v>
      </c>
      <c r="E267" s="24" t="n">
        <v>1827</v>
      </c>
      <c r="F267" s="26" t="n">
        <v>13609.19</v>
      </c>
    </row>
    <row r="268" customFormat="false" ht="15" hidden="false" customHeight="false" outlineLevel="0" collapsed="false">
      <c r="A268" s="19" t="s">
        <v>41</v>
      </c>
      <c r="B268" s="20" t="s">
        <v>17</v>
      </c>
      <c r="C268" s="20" t="s">
        <v>25</v>
      </c>
      <c r="D268" s="21" t="n">
        <v>56949</v>
      </c>
      <c r="E268" s="20" t="n">
        <v>1429</v>
      </c>
      <c r="F268" s="22" t="n">
        <v>14093.71</v>
      </c>
    </row>
    <row r="269" customFormat="false" ht="15" hidden="false" customHeight="false" outlineLevel="0" collapsed="false">
      <c r="A269" s="23" t="s">
        <v>41</v>
      </c>
      <c r="B269" s="24" t="s">
        <v>17</v>
      </c>
      <c r="C269" s="24" t="s">
        <v>27</v>
      </c>
      <c r="D269" s="25" t="n">
        <v>188013</v>
      </c>
      <c r="E269" s="24" t="n">
        <v>1458</v>
      </c>
      <c r="F269" s="26" t="n">
        <v>39364.04</v>
      </c>
    </row>
    <row r="270" customFormat="false" ht="15" hidden="false" customHeight="false" outlineLevel="0" collapsed="false">
      <c r="A270" s="19" t="s">
        <v>41</v>
      </c>
      <c r="B270" s="20" t="s">
        <v>17</v>
      </c>
      <c r="C270" s="20" t="s">
        <v>24</v>
      </c>
      <c r="D270" s="21" t="n">
        <v>387889</v>
      </c>
      <c r="E270" s="20" t="n">
        <v>1431</v>
      </c>
      <c r="F270" s="22" t="n">
        <v>91876</v>
      </c>
    </row>
    <row r="271" customFormat="false" ht="15" hidden="false" customHeight="false" outlineLevel="0" collapsed="false">
      <c r="A271" s="23" t="s">
        <v>41</v>
      </c>
      <c r="B271" s="24" t="s">
        <v>17</v>
      </c>
      <c r="C271" s="24" t="s">
        <v>26</v>
      </c>
      <c r="D271" s="25" t="n">
        <v>409383</v>
      </c>
      <c r="E271" s="24" t="n">
        <v>1458</v>
      </c>
      <c r="F271" s="26" t="n">
        <v>81522.77</v>
      </c>
    </row>
    <row r="272" customFormat="false" ht="15" hidden="false" customHeight="false" outlineLevel="0" collapsed="false">
      <c r="A272" s="19" t="s">
        <v>41</v>
      </c>
      <c r="B272" s="20" t="s">
        <v>19</v>
      </c>
      <c r="C272" s="20" t="s">
        <v>28</v>
      </c>
      <c r="D272" s="21" t="n">
        <v>120390</v>
      </c>
      <c r="E272" s="20" t="n">
        <v>1229</v>
      </c>
      <c r="F272" s="22" t="n">
        <v>37993.99</v>
      </c>
    </row>
    <row r="273" customFormat="false" ht="15" hidden="false" customHeight="false" outlineLevel="0" collapsed="false">
      <c r="A273" s="23" t="s">
        <v>41</v>
      </c>
      <c r="B273" s="24" t="s">
        <v>19</v>
      </c>
      <c r="C273" s="24" t="s">
        <v>25</v>
      </c>
      <c r="D273" s="25" t="n">
        <v>297940</v>
      </c>
      <c r="E273" s="24" t="n">
        <v>896</v>
      </c>
      <c r="F273" s="26" t="n">
        <v>40748.77</v>
      </c>
    </row>
    <row r="274" customFormat="false" ht="15" hidden="false" customHeight="false" outlineLevel="0" collapsed="false">
      <c r="A274" s="19" t="s">
        <v>41</v>
      </c>
      <c r="B274" s="20" t="s">
        <v>19</v>
      </c>
      <c r="C274" s="20" t="s">
        <v>27</v>
      </c>
      <c r="D274" s="21" t="n">
        <v>367623</v>
      </c>
      <c r="E274" s="20" t="n">
        <v>1524</v>
      </c>
      <c r="F274" s="22" t="n">
        <v>81990.62</v>
      </c>
    </row>
    <row r="275" customFormat="false" ht="15" hidden="false" customHeight="false" outlineLevel="0" collapsed="false">
      <c r="A275" s="23" t="s">
        <v>41</v>
      </c>
      <c r="B275" s="24" t="s">
        <v>19</v>
      </c>
      <c r="C275" s="24" t="s">
        <v>24</v>
      </c>
      <c r="D275" s="25" t="n">
        <v>332107</v>
      </c>
      <c r="E275" s="24" t="n">
        <v>1975</v>
      </c>
      <c r="F275" s="26" t="n">
        <v>71331.25</v>
      </c>
    </row>
    <row r="276" customFormat="false" ht="15" hidden="false" customHeight="false" outlineLevel="0" collapsed="false">
      <c r="A276" s="19" t="s">
        <v>41</v>
      </c>
      <c r="B276" s="20" t="s">
        <v>19</v>
      </c>
      <c r="C276" s="20" t="s">
        <v>26</v>
      </c>
      <c r="D276" s="21" t="n">
        <v>273777</v>
      </c>
      <c r="E276" s="20" t="n">
        <v>1897</v>
      </c>
      <c r="F276" s="22" t="n">
        <v>61094.58</v>
      </c>
    </row>
    <row r="277" customFormat="false" ht="15" hidden="false" customHeight="false" outlineLevel="0" collapsed="false">
      <c r="A277" s="23" t="s">
        <v>42</v>
      </c>
      <c r="B277" s="24" t="s">
        <v>18</v>
      </c>
      <c r="C277" s="24" t="s">
        <v>28</v>
      </c>
      <c r="D277" s="25" t="n">
        <v>119836</v>
      </c>
      <c r="E277" s="24" t="n">
        <v>225</v>
      </c>
      <c r="F277" s="26" t="n">
        <v>30959.66</v>
      </c>
    </row>
    <row r="278" customFormat="false" ht="15" hidden="false" customHeight="false" outlineLevel="0" collapsed="false">
      <c r="A278" s="19" t="s">
        <v>42</v>
      </c>
      <c r="B278" s="20" t="s">
        <v>18</v>
      </c>
      <c r="C278" s="20" t="s">
        <v>25</v>
      </c>
      <c r="D278" s="21" t="n">
        <v>193087</v>
      </c>
      <c r="E278" s="20" t="n">
        <v>210</v>
      </c>
      <c r="F278" s="22" t="n">
        <v>25529.95</v>
      </c>
    </row>
    <row r="279" customFormat="false" ht="15" hidden="false" customHeight="false" outlineLevel="0" collapsed="false">
      <c r="A279" s="23" t="s">
        <v>42</v>
      </c>
      <c r="B279" s="24" t="s">
        <v>18</v>
      </c>
      <c r="C279" s="24" t="s">
        <v>27</v>
      </c>
      <c r="D279" s="25" t="n">
        <v>261791</v>
      </c>
      <c r="E279" s="24" t="n">
        <v>194</v>
      </c>
      <c r="F279" s="26" t="n">
        <v>52377.87</v>
      </c>
    </row>
    <row r="280" customFormat="false" ht="15" hidden="false" customHeight="false" outlineLevel="0" collapsed="false">
      <c r="A280" s="19" t="s">
        <v>42</v>
      </c>
      <c r="B280" s="20" t="s">
        <v>18</v>
      </c>
      <c r="C280" s="20" t="s">
        <v>24</v>
      </c>
      <c r="D280" s="21" t="n">
        <v>203487</v>
      </c>
      <c r="E280" s="20" t="n">
        <v>1643</v>
      </c>
      <c r="F280" s="22" t="n">
        <v>29509.04</v>
      </c>
    </row>
    <row r="281" customFormat="false" ht="15" hidden="false" customHeight="false" outlineLevel="0" collapsed="false">
      <c r="A281" s="23" t="s">
        <v>42</v>
      </c>
      <c r="B281" s="24" t="s">
        <v>18</v>
      </c>
      <c r="C281" s="24" t="s">
        <v>26</v>
      </c>
      <c r="D281" s="25" t="n">
        <v>437971</v>
      </c>
      <c r="E281" s="24" t="n">
        <v>1819</v>
      </c>
      <c r="F281" s="26" t="n">
        <v>88871.02</v>
      </c>
    </row>
    <row r="282" customFormat="false" ht="15" hidden="false" customHeight="false" outlineLevel="0" collapsed="false">
      <c r="A282" s="19" t="s">
        <v>42</v>
      </c>
      <c r="B282" s="20" t="s">
        <v>31</v>
      </c>
      <c r="C282" s="20" t="s">
        <v>28</v>
      </c>
      <c r="D282" s="21" t="n">
        <v>264879</v>
      </c>
      <c r="E282" s="20" t="n">
        <v>1318</v>
      </c>
      <c r="F282" s="22" t="n">
        <v>60606.7</v>
      </c>
    </row>
    <row r="283" customFormat="false" ht="15" hidden="false" customHeight="false" outlineLevel="0" collapsed="false">
      <c r="A283" s="23" t="s">
        <v>42</v>
      </c>
      <c r="B283" s="24" t="s">
        <v>31</v>
      </c>
      <c r="C283" s="24" t="s">
        <v>25</v>
      </c>
      <c r="D283" s="25" t="n">
        <v>427503</v>
      </c>
      <c r="E283" s="24" t="n">
        <v>160</v>
      </c>
      <c r="F283" s="26" t="n">
        <v>63301.33</v>
      </c>
    </row>
    <row r="284" customFormat="false" ht="15" hidden="false" customHeight="false" outlineLevel="0" collapsed="false">
      <c r="A284" s="19" t="s">
        <v>42</v>
      </c>
      <c r="B284" s="20" t="s">
        <v>31</v>
      </c>
      <c r="C284" s="20" t="s">
        <v>27</v>
      </c>
      <c r="D284" s="21" t="n">
        <v>467170</v>
      </c>
      <c r="E284" s="20" t="n">
        <v>1912</v>
      </c>
      <c r="F284" s="22" t="n">
        <v>66447.35</v>
      </c>
    </row>
    <row r="285" customFormat="false" ht="15" hidden="false" customHeight="false" outlineLevel="0" collapsed="false">
      <c r="A285" s="23" t="s">
        <v>42</v>
      </c>
      <c r="B285" s="24" t="s">
        <v>31</v>
      </c>
      <c r="C285" s="24" t="s">
        <v>24</v>
      </c>
      <c r="D285" s="25" t="n">
        <v>161195</v>
      </c>
      <c r="E285" s="24" t="n">
        <v>781</v>
      </c>
      <c r="F285" s="26" t="n">
        <v>23252.8</v>
      </c>
    </row>
    <row r="286" customFormat="false" ht="15" hidden="false" customHeight="false" outlineLevel="0" collapsed="false">
      <c r="A286" s="19" t="s">
        <v>42</v>
      </c>
      <c r="B286" s="20" t="s">
        <v>31</v>
      </c>
      <c r="C286" s="20" t="s">
        <v>26</v>
      </c>
      <c r="D286" s="21" t="n">
        <v>391396</v>
      </c>
      <c r="E286" s="20" t="n">
        <v>937</v>
      </c>
      <c r="F286" s="22" t="n">
        <v>50943.7</v>
      </c>
    </row>
    <row r="287" customFormat="false" ht="15" hidden="false" customHeight="false" outlineLevel="0" collapsed="false">
      <c r="A287" s="23" t="s">
        <v>42</v>
      </c>
      <c r="B287" s="24" t="s">
        <v>20</v>
      </c>
      <c r="C287" s="24" t="s">
        <v>28</v>
      </c>
      <c r="D287" s="25" t="n">
        <v>416824</v>
      </c>
      <c r="E287" s="24" t="n">
        <v>623</v>
      </c>
      <c r="F287" s="26" t="n">
        <v>63183.61</v>
      </c>
    </row>
    <row r="288" customFormat="false" ht="15" hidden="false" customHeight="false" outlineLevel="0" collapsed="false">
      <c r="A288" s="19" t="s">
        <v>42</v>
      </c>
      <c r="B288" s="20" t="s">
        <v>20</v>
      </c>
      <c r="C288" s="20" t="s">
        <v>25</v>
      </c>
      <c r="D288" s="21" t="n">
        <v>101745</v>
      </c>
      <c r="E288" s="20" t="n">
        <v>1201</v>
      </c>
      <c r="F288" s="22" t="n">
        <v>18570.99</v>
      </c>
    </row>
    <row r="289" customFormat="false" ht="15" hidden="false" customHeight="false" outlineLevel="0" collapsed="false">
      <c r="A289" s="23" t="s">
        <v>42</v>
      </c>
      <c r="B289" s="24" t="s">
        <v>20</v>
      </c>
      <c r="C289" s="24" t="s">
        <v>27</v>
      </c>
      <c r="D289" s="25" t="n">
        <v>262890</v>
      </c>
      <c r="E289" s="24" t="n">
        <v>1196</v>
      </c>
      <c r="F289" s="26" t="n">
        <v>32354.57</v>
      </c>
    </row>
    <row r="290" customFormat="false" ht="15" hidden="false" customHeight="false" outlineLevel="0" collapsed="false">
      <c r="A290" s="19" t="s">
        <v>42</v>
      </c>
      <c r="B290" s="20" t="s">
        <v>20</v>
      </c>
      <c r="C290" s="20" t="s">
        <v>24</v>
      </c>
      <c r="D290" s="21" t="n">
        <v>334718</v>
      </c>
      <c r="E290" s="20" t="n">
        <v>1244</v>
      </c>
      <c r="F290" s="22" t="n">
        <v>91025.28</v>
      </c>
    </row>
    <row r="291" customFormat="false" ht="15" hidden="false" customHeight="false" outlineLevel="0" collapsed="false">
      <c r="A291" s="23" t="s">
        <v>42</v>
      </c>
      <c r="B291" s="24" t="s">
        <v>20</v>
      </c>
      <c r="C291" s="24" t="s">
        <v>26</v>
      </c>
      <c r="D291" s="25" t="n">
        <v>309127</v>
      </c>
      <c r="E291" s="24" t="n">
        <v>449</v>
      </c>
      <c r="F291" s="26" t="n">
        <v>43044.21</v>
      </c>
    </row>
    <row r="292" customFormat="false" ht="15" hidden="false" customHeight="false" outlineLevel="0" collapsed="false">
      <c r="A292" s="19" t="s">
        <v>42</v>
      </c>
      <c r="B292" s="20" t="s">
        <v>17</v>
      </c>
      <c r="C292" s="20" t="s">
        <v>28</v>
      </c>
      <c r="D292" s="21" t="n">
        <v>430975</v>
      </c>
      <c r="E292" s="20" t="n">
        <v>1696</v>
      </c>
      <c r="F292" s="22" t="n">
        <v>43377.1</v>
      </c>
    </row>
    <row r="293" customFormat="false" ht="15" hidden="false" customHeight="false" outlineLevel="0" collapsed="false">
      <c r="A293" s="23" t="s">
        <v>42</v>
      </c>
      <c r="B293" s="24" t="s">
        <v>17</v>
      </c>
      <c r="C293" s="24" t="s">
        <v>25</v>
      </c>
      <c r="D293" s="25" t="n">
        <v>114291</v>
      </c>
      <c r="E293" s="24" t="n">
        <v>1380</v>
      </c>
      <c r="F293" s="26" t="n">
        <v>13843.98</v>
      </c>
    </row>
    <row r="294" customFormat="false" ht="15" hidden="false" customHeight="false" outlineLevel="0" collapsed="false">
      <c r="A294" s="19" t="s">
        <v>42</v>
      </c>
      <c r="B294" s="20" t="s">
        <v>17</v>
      </c>
      <c r="C294" s="20" t="s">
        <v>27</v>
      </c>
      <c r="D294" s="21" t="n">
        <v>362572</v>
      </c>
      <c r="E294" s="20" t="n">
        <v>1815</v>
      </c>
      <c r="F294" s="22" t="n">
        <v>55233.25</v>
      </c>
    </row>
    <row r="295" customFormat="false" ht="15" hidden="false" customHeight="false" outlineLevel="0" collapsed="false">
      <c r="A295" s="23" t="s">
        <v>42</v>
      </c>
      <c r="B295" s="24" t="s">
        <v>17</v>
      </c>
      <c r="C295" s="24" t="s">
        <v>24</v>
      </c>
      <c r="D295" s="25" t="n">
        <v>443271</v>
      </c>
      <c r="E295" s="24" t="n">
        <v>825</v>
      </c>
      <c r="F295" s="26" t="n">
        <v>70493</v>
      </c>
    </row>
    <row r="296" customFormat="false" ht="15" hidden="false" customHeight="false" outlineLevel="0" collapsed="false">
      <c r="A296" s="19" t="s">
        <v>42</v>
      </c>
      <c r="B296" s="20" t="s">
        <v>17</v>
      </c>
      <c r="C296" s="20" t="s">
        <v>26</v>
      </c>
      <c r="D296" s="21" t="n">
        <v>340843</v>
      </c>
      <c r="E296" s="20" t="n">
        <v>177</v>
      </c>
      <c r="F296" s="22" t="n">
        <v>73497.23</v>
      </c>
    </row>
    <row r="297" customFormat="false" ht="15" hidden="false" customHeight="false" outlineLevel="0" collapsed="false">
      <c r="A297" s="23" t="s">
        <v>42</v>
      </c>
      <c r="B297" s="24" t="s">
        <v>19</v>
      </c>
      <c r="C297" s="24" t="s">
        <v>28</v>
      </c>
      <c r="D297" s="25" t="n">
        <v>197820</v>
      </c>
      <c r="E297" s="24" t="n">
        <v>765</v>
      </c>
      <c r="F297" s="26" t="n">
        <v>21596.17</v>
      </c>
    </row>
    <row r="298" customFormat="false" ht="15" hidden="false" customHeight="false" outlineLevel="0" collapsed="false">
      <c r="A298" s="19" t="s">
        <v>42</v>
      </c>
      <c r="B298" s="20" t="s">
        <v>19</v>
      </c>
      <c r="C298" s="20" t="s">
        <v>25</v>
      </c>
      <c r="D298" s="21" t="n">
        <v>308930</v>
      </c>
      <c r="E298" s="20" t="n">
        <v>1130</v>
      </c>
      <c r="F298" s="22" t="n">
        <v>83964.51</v>
      </c>
    </row>
    <row r="299" customFormat="false" ht="15" hidden="false" customHeight="false" outlineLevel="0" collapsed="false">
      <c r="A299" s="23" t="s">
        <v>42</v>
      </c>
      <c r="B299" s="24" t="s">
        <v>19</v>
      </c>
      <c r="C299" s="24" t="s">
        <v>27</v>
      </c>
      <c r="D299" s="25" t="n">
        <v>394982</v>
      </c>
      <c r="E299" s="24" t="n">
        <v>849</v>
      </c>
      <c r="F299" s="26" t="n">
        <v>113519.43</v>
      </c>
    </row>
    <row r="300" customFormat="false" ht="15" hidden="false" customHeight="false" outlineLevel="0" collapsed="false">
      <c r="A300" s="19" t="s">
        <v>42</v>
      </c>
      <c r="B300" s="20" t="s">
        <v>19</v>
      </c>
      <c r="C300" s="20" t="s">
        <v>24</v>
      </c>
      <c r="D300" s="21" t="n">
        <v>379211</v>
      </c>
      <c r="E300" s="20" t="n">
        <v>1397</v>
      </c>
      <c r="F300" s="22" t="n">
        <v>80337.02</v>
      </c>
    </row>
    <row r="301" customFormat="false" ht="15" hidden="false" customHeight="false" outlineLevel="0" collapsed="false">
      <c r="A301" s="23" t="s">
        <v>42</v>
      </c>
      <c r="B301" s="24" t="s">
        <v>19</v>
      </c>
      <c r="C301" s="24" t="s">
        <v>26</v>
      </c>
      <c r="D301" s="25" t="n">
        <v>155186</v>
      </c>
      <c r="E301" s="24" t="n">
        <v>1138</v>
      </c>
      <c r="F301" s="26" t="n">
        <v>19587.16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8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34.5" hidden="false" customHeight="true" outlineLevel="0" collapsed="false">
      <c r="A1" s="27" t="s">
        <v>43</v>
      </c>
      <c r="B1" s="27"/>
      <c r="C1" s="27"/>
      <c r="D1" s="27"/>
      <c r="E1" s="27"/>
    </row>
    <row r="2" customFormat="false" ht="27.75" hidden="false" customHeight="true" outlineLevel="0" collapsed="false">
      <c r="A2" s="28" t="s">
        <v>12</v>
      </c>
      <c r="B2" s="28" t="s">
        <v>44</v>
      </c>
      <c r="C2" s="28" t="s">
        <v>45</v>
      </c>
      <c r="D2" s="28" t="s">
        <v>46</v>
      </c>
      <c r="E2" s="28" t="s">
        <v>23</v>
      </c>
    </row>
    <row r="3" customFormat="false" ht="15" hidden="false" customHeight="false" outlineLevel="0" collapsed="false">
      <c r="A3" s="24" t="s">
        <v>31</v>
      </c>
      <c r="B3" s="26" t="n">
        <v>16965827</v>
      </c>
      <c r="C3" s="26" t="n">
        <v>3537217.63</v>
      </c>
      <c r="D3" s="29" t="n">
        <v>0.208</v>
      </c>
      <c r="E3" s="24" t="n">
        <v>69854</v>
      </c>
    </row>
    <row r="4" customFormat="false" ht="15" hidden="false" customHeight="false" outlineLevel="0" collapsed="false">
      <c r="A4" s="20" t="s">
        <v>17</v>
      </c>
      <c r="B4" s="22" t="n">
        <v>16759928</v>
      </c>
      <c r="C4" s="22" t="n">
        <v>3652173.22</v>
      </c>
      <c r="D4" s="30" t="n">
        <v>0.218</v>
      </c>
      <c r="E4" s="20" t="n">
        <v>68688</v>
      </c>
    </row>
    <row r="5" customFormat="false" ht="15" hidden="false" customHeight="false" outlineLevel="0" collapsed="false">
      <c r="A5" s="24" t="s">
        <v>18</v>
      </c>
      <c r="B5" s="26" t="n">
        <v>16169503</v>
      </c>
      <c r="C5" s="26" t="n">
        <v>3812423.19</v>
      </c>
      <c r="D5" s="29" t="n">
        <v>0.236</v>
      </c>
      <c r="E5" s="24" t="n">
        <v>60708</v>
      </c>
    </row>
    <row r="6" customFormat="false" ht="15" hidden="false" customHeight="false" outlineLevel="0" collapsed="false">
      <c r="A6" s="20" t="s">
        <v>19</v>
      </c>
      <c r="B6" s="22" t="n">
        <v>15940210</v>
      </c>
      <c r="C6" s="22" t="n">
        <v>3607658.92</v>
      </c>
      <c r="D6" s="30" t="n">
        <v>0.226</v>
      </c>
      <c r="E6" s="20" t="n">
        <v>67729</v>
      </c>
    </row>
    <row r="7" customFormat="false" ht="15" hidden="false" customHeight="false" outlineLevel="0" collapsed="false">
      <c r="A7" s="24" t="s">
        <v>20</v>
      </c>
      <c r="B7" s="26" t="n">
        <v>15598012</v>
      </c>
      <c r="C7" s="26" t="n">
        <v>3465756</v>
      </c>
      <c r="D7" s="29" t="n">
        <v>0.222</v>
      </c>
      <c r="E7" s="24" t="n">
        <v>62762</v>
      </c>
    </row>
    <row r="8" customFormat="false" ht="15" hidden="false" customHeight="false" outlineLevel="0" collapsed="false">
      <c r="A8" s="31" t="s">
        <v>47</v>
      </c>
      <c r="B8" s="32" t="n">
        <f aca="false">SUM(B3:B7)</f>
        <v>81433480</v>
      </c>
      <c r="C8" s="32" t="n">
        <f aca="false">SUM(C3:C7)</f>
        <v>18075228.96</v>
      </c>
      <c r="D8" s="33" t="n">
        <f aca="false">C8/B8</f>
        <v>0.22196311590761</v>
      </c>
      <c r="E8" s="31" t="n">
        <f aca="false">SUM(E3:E7)</f>
        <v>329741</v>
      </c>
    </row>
  </sheetData>
  <mergeCells count="1">
    <mergeCell ref="A1:E1"/>
  </mergeCells>
  <conditionalFormatting sqref="B3:B7">
    <cfRule type="colorScale" priority="2">
      <colorScale>
        <cfvo type="min" val="0"/>
        <cfvo type="max" val="0"/>
        <color rgb="FFFFFFFF"/>
        <color rgb="FF2E75B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8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34.5" hidden="false" customHeight="true" outlineLevel="0" collapsed="false">
      <c r="A1" s="27" t="s">
        <v>48</v>
      </c>
      <c r="B1" s="27"/>
      <c r="C1" s="27"/>
      <c r="D1" s="27"/>
      <c r="E1" s="27"/>
    </row>
    <row r="2" customFormat="false" ht="27.75" hidden="false" customHeight="true" outlineLevel="0" collapsed="false">
      <c r="A2" s="28" t="s">
        <v>22</v>
      </c>
      <c r="B2" s="28" t="s">
        <v>44</v>
      </c>
      <c r="C2" s="28" t="s">
        <v>45</v>
      </c>
      <c r="D2" s="28" t="s">
        <v>23</v>
      </c>
      <c r="E2" s="28" t="s">
        <v>46</v>
      </c>
    </row>
    <row r="3" customFormat="false" ht="15" hidden="false" customHeight="false" outlineLevel="0" collapsed="false">
      <c r="A3" s="24" t="s">
        <v>24</v>
      </c>
      <c r="B3" s="26" t="n">
        <v>17407514</v>
      </c>
      <c r="C3" s="26" t="n">
        <v>3887393.23</v>
      </c>
      <c r="D3" s="24" t="n">
        <v>73090</v>
      </c>
      <c r="E3" s="29" t="n">
        <v>0.223316967029296</v>
      </c>
    </row>
    <row r="4" customFormat="false" ht="15" hidden="false" customHeight="false" outlineLevel="0" collapsed="false">
      <c r="A4" s="20" t="s">
        <v>25</v>
      </c>
      <c r="B4" s="22" t="n">
        <v>16921280</v>
      </c>
      <c r="C4" s="22" t="n">
        <v>3763317.02</v>
      </c>
      <c r="D4" s="20" t="n">
        <v>61490</v>
      </c>
      <c r="E4" s="30" t="n">
        <v>0.222401438898239</v>
      </c>
    </row>
    <row r="5" customFormat="false" ht="15" hidden="false" customHeight="false" outlineLevel="0" collapsed="false">
      <c r="A5" s="24" t="s">
        <v>26</v>
      </c>
      <c r="B5" s="26" t="n">
        <v>16720754</v>
      </c>
      <c r="C5" s="26" t="n">
        <v>3777232.92</v>
      </c>
      <c r="D5" s="24" t="n">
        <v>57691</v>
      </c>
      <c r="E5" s="29" t="n">
        <v>0.225900872652035</v>
      </c>
    </row>
    <row r="6" customFormat="false" ht="15" hidden="false" customHeight="false" outlineLevel="0" collapsed="false">
      <c r="A6" s="20" t="s">
        <v>27</v>
      </c>
      <c r="B6" s="22" t="n">
        <v>16610426</v>
      </c>
      <c r="C6" s="22" t="n">
        <v>3461089.88</v>
      </c>
      <c r="D6" s="20" t="n">
        <v>69817</v>
      </c>
      <c r="E6" s="30" t="n">
        <v>0.208368519868184</v>
      </c>
    </row>
    <row r="7" customFormat="false" ht="15" hidden="false" customHeight="false" outlineLevel="0" collapsed="false">
      <c r="A7" s="24" t="s">
        <v>28</v>
      </c>
      <c r="B7" s="26" t="n">
        <v>13773506</v>
      </c>
      <c r="C7" s="26" t="n">
        <v>3186195.91</v>
      </c>
      <c r="D7" s="24" t="n">
        <v>67653</v>
      </c>
      <c r="E7" s="29" t="n">
        <v>0.231327877593403</v>
      </c>
    </row>
    <row r="8" customFormat="false" ht="15" hidden="false" customHeight="false" outlineLevel="0" collapsed="false">
      <c r="A8" s="31" t="s">
        <v>47</v>
      </c>
      <c r="B8" s="32" t="n">
        <f aca="false">SUM(B3:B7)</f>
        <v>81433480</v>
      </c>
      <c r="C8" s="32" t="n">
        <f aca="false">SUM(C3:C7)</f>
        <v>18075228.96</v>
      </c>
      <c r="D8" s="34" t="n">
        <f aca="false">SUM(D3:D7)</f>
        <v>329741</v>
      </c>
      <c r="E8" s="33" t="n">
        <f aca="false">C8/B8</f>
        <v>0.22196311590761</v>
      </c>
    </row>
  </sheetData>
  <mergeCells count="1">
    <mergeCell ref="A1:E1"/>
  </mergeCells>
  <conditionalFormatting sqref="C3:C7">
    <cfRule type="colorScale" priority="2">
      <colorScale>
        <cfvo type="min" val="0"/>
        <cfvo type="max" val="0"/>
        <color rgb="FFFFFFFF"/>
        <color rgb="FF70AD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C15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34.5" hidden="false" customHeight="true" outlineLevel="0" collapsed="false">
      <c r="A1" s="27" t="s">
        <v>49</v>
      </c>
      <c r="B1" s="27"/>
      <c r="C1" s="27"/>
    </row>
    <row r="2" customFormat="false" ht="27.75" hidden="false" customHeight="true" outlineLevel="0" collapsed="false">
      <c r="A2" s="28" t="s">
        <v>29</v>
      </c>
      <c r="B2" s="28" t="s">
        <v>44</v>
      </c>
      <c r="C2" s="28" t="s">
        <v>50</v>
      </c>
    </row>
    <row r="3" customFormat="false" ht="15" hidden="false" customHeight="false" outlineLevel="0" collapsed="false">
      <c r="A3" s="24" t="s">
        <v>30</v>
      </c>
      <c r="B3" s="26" t="n">
        <v>6289885</v>
      </c>
      <c r="C3" s="24" t="s">
        <v>51</v>
      </c>
    </row>
    <row r="4" customFormat="false" ht="15" hidden="false" customHeight="false" outlineLevel="0" collapsed="false">
      <c r="A4" s="20" t="s">
        <v>32</v>
      </c>
      <c r="B4" s="22" t="n">
        <v>6838808</v>
      </c>
      <c r="C4" s="30" t="n">
        <f aca="false">(B4-B3)/B3</f>
        <v>0.087270752962892</v>
      </c>
    </row>
    <row r="5" customFormat="false" ht="15" hidden="false" customHeight="false" outlineLevel="0" collapsed="false">
      <c r="A5" s="24" t="s">
        <v>33</v>
      </c>
      <c r="B5" s="26" t="n">
        <v>7535893</v>
      </c>
      <c r="C5" s="29" t="n">
        <f aca="false">(B5-B4)/B4</f>
        <v>0.101930775070743</v>
      </c>
    </row>
    <row r="6" customFormat="false" ht="15" hidden="false" customHeight="false" outlineLevel="0" collapsed="false">
      <c r="A6" s="20" t="s">
        <v>34</v>
      </c>
      <c r="B6" s="22" t="n">
        <v>6863227</v>
      </c>
      <c r="C6" s="30" t="n">
        <f aca="false">(B6-B5)/B5</f>
        <v>-0.0892616177007821</v>
      </c>
    </row>
    <row r="7" customFormat="false" ht="15" hidden="false" customHeight="false" outlineLevel="0" collapsed="false">
      <c r="A7" s="24" t="s">
        <v>35</v>
      </c>
      <c r="B7" s="26" t="n">
        <v>7103271</v>
      </c>
      <c r="C7" s="29" t="n">
        <f aca="false">(B7-B6)/B6</f>
        <v>0.0349753840285335</v>
      </c>
    </row>
    <row r="8" customFormat="false" ht="15" hidden="false" customHeight="false" outlineLevel="0" collapsed="false">
      <c r="A8" s="20" t="s">
        <v>36</v>
      </c>
      <c r="B8" s="22" t="n">
        <v>6411762</v>
      </c>
      <c r="C8" s="30" t="n">
        <f aca="false">(B8-B7)/B7</f>
        <v>-0.0973507838853396</v>
      </c>
    </row>
    <row r="9" customFormat="false" ht="15" hidden="false" customHeight="false" outlineLevel="0" collapsed="false">
      <c r="A9" s="24" t="s">
        <v>37</v>
      </c>
      <c r="B9" s="26" t="n">
        <v>6376675</v>
      </c>
      <c r="C9" s="29" t="n">
        <f aca="false">(B9-B8)/B8</f>
        <v>-0.00547228671307513</v>
      </c>
    </row>
    <row r="10" customFormat="false" ht="15" hidden="false" customHeight="false" outlineLevel="0" collapsed="false">
      <c r="A10" s="20" t="s">
        <v>38</v>
      </c>
      <c r="B10" s="22" t="n">
        <v>6330587</v>
      </c>
      <c r="C10" s="30" t="n">
        <f aca="false">(B10-B9)/B9</f>
        <v>-0.00722759118192475</v>
      </c>
    </row>
    <row r="11" customFormat="false" ht="15" hidden="false" customHeight="false" outlineLevel="0" collapsed="false">
      <c r="A11" s="24" t="s">
        <v>39</v>
      </c>
      <c r="B11" s="26" t="n">
        <v>6496728</v>
      </c>
      <c r="C11" s="29" t="n">
        <f aca="false">(B11-B10)/B10</f>
        <v>0.0262441697744617</v>
      </c>
    </row>
    <row r="12" customFormat="false" ht="15" hidden="false" customHeight="false" outlineLevel="0" collapsed="false">
      <c r="A12" s="20" t="s">
        <v>40</v>
      </c>
      <c r="B12" s="22" t="n">
        <v>6543125</v>
      </c>
      <c r="C12" s="30" t="n">
        <f aca="false">(B12-B11)/B11</f>
        <v>0.00714159496903672</v>
      </c>
    </row>
    <row r="13" customFormat="false" ht="15" hidden="false" customHeight="false" outlineLevel="0" collapsed="false">
      <c r="A13" s="24" t="s">
        <v>41</v>
      </c>
      <c r="B13" s="26" t="n">
        <v>7161819</v>
      </c>
      <c r="C13" s="29" t="n">
        <f aca="false">(B13-B12)/B12</f>
        <v>0.094556347311109</v>
      </c>
    </row>
    <row r="14" customFormat="false" ht="15" hidden="false" customHeight="false" outlineLevel="0" collapsed="false">
      <c r="A14" s="20" t="s">
        <v>42</v>
      </c>
      <c r="B14" s="22" t="n">
        <v>7481700</v>
      </c>
      <c r="C14" s="30" t="n">
        <f aca="false">(B14-B13)/B13</f>
        <v>0.0446647702210849</v>
      </c>
    </row>
    <row r="15" customFormat="false" ht="15" hidden="false" customHeight="false" outlineLevel="0" collapsed="false">
      <c r="A15" s="31" t="s">
        <v>47</v>
      </c>
      <c r="B15" s="32" t="n">
        <f aca="false">SUM(B3:B14)</f>
        <v>81433480</v>
      </c>
      <c r="C15" s="35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8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4"/>
  </cols>
  <sheetData>
    <row r="1" customFormat="false" ht="34.5" hidden="false" customHeight="true" outlineLevel="0" collapsed="false">
      <c r="A1" s="27" t="s">
        <v>52</v>
      </c>
      <c r="B1" s="27"/>
      <c r="C1" s="27"/>
      <c r="D1" s="27"/>
      <c r="E1" s="27"/>
      <c r="F1" s="27"/>
    </row>
    <row r="2" customFormat="false" ht="27.75" hidden="false" customHeight="true" outlineLevel="0" collapsed="false">
      <c r="A2" s="31" t="s">
        <v>12</v>
      </c>
      <c r="B2" s="28" t="s">
        <v>28</v>
      </c>
      <c r="C2" s="28" t="s">
        <v>25</v>
      </c>
      <c r="D2" s="28" t="s">
        <v>27</v>
      </c>
      <c r="E2" s="28" t="s">
        <v>24</v>
      </c>
      <c r="F2" s="28" t="s">
        <v>26</v>
      </c>
      <c r="G2" s="31" t="s">
        <v>53</v>
      </c>
    </row>
    <row r="3" customFormat="false" ht="15" hidden="false" customHeight="false" outlineLevel="0" collapsed="false">
      <c r="A3" s="28" t="s">
        <v>19</v>
      </c>
      <c r="B3" s="26" t="n">
        <v>2610028</v>
      </c>
      <c r="C3" s="26" t="n">
        <v>3547451</v>
      </c>
      <c r="D3" s="26" t="n">
        <v>3906408</v>
      </c>
      <c r="E3" s="26" t="n">
        <v>3276001</v>
      </c>
      <c r="F3" s="26" t="n">
        <v>2600322</v>
      </c>
      <c r="G3" s="32" t="n">
        <f aca="false">SUM(B3:F3)</f>
        <v>15940210</v>
      </c>
    </row>
    <row r="4" customFormat="false" ht="15" hidden="false" customHeight="false" outlineLevel="0" collapsed="false">
      <c r="A4" s="28" t="s">
        <v>20</v>
      </c>
      <c r="B4" s="22" t="n">
        <v>2844378</v>
      </c>
      <c r="C4" s="22" t="n">
        <v>3474268</v>
      </c>
      <c r="D4" s="22" t="n">
        <v>3094266</v>
      </c>
      <c r="E4" s="22" t="n">
        <v>3333755</v>
      </c>
      <c r="F4" s="22" t="n">
        <v>2851345</v>
      </c>
      <c r="G4" s="32" t="n">
        <f aca="false">SUM(B4:F4)</f>
        <v>15598012</v>
      </c>
    </row>
    <row r="5" customFormat="false" ht="15" hidden="false" customHeight="false" outlineLevel="0" collapsed="false">
      <c r="A5" s="28" t="s">
        <v>18</v>
      </c>
      <c r="B5" s="26" t="n">
        <v>2661618</v>
      </c>
      <c r="C5" s="26" t="n">
        <v>2967008</v>
      </c>
      <c r="D5" s="26" t="n">
        <v>3349902</v>
      </c>
      <c r="E5" s="26" t="n">
        <v>3291468</v>
      </c>
      <c r="F5" s="26" t="n">
        <v>3899507</v>
      </c>
      <c r="G5" s="32" t="n">
        <f aca="false">SUM(B5:F5)</f>
        <v>16169503</v>
      </c>
    </row>
    <row r="6" customFormat="false" ht="15" hidden="false" customHeight="false" outlineLevel="0" collapsed="false">
      <c r="A6" s="28" t="s">
        <v>31</v>
      </c>
      <c r="B6" s="22" t="n">
        <v>3168182</v>
      </c>
      <c r="C6" s="22" t="n">
        <v>3808710</v>
      </c>
      <c r="D6" s="22" t="n">
        <v>3094289</v>
      </c>
      <c r="E6" s="22" t="n">
        <v>3360258</v>
      </c>
      <c r="F6" s="22" t="n">
        <v>3534388</v>
      </c>
      <c r="G6" s="32" t="n">
        <f aca="false">SUM(B6:F6)</f>
        <v>16965827</v>
      </c>
    </row>
    <row r="7" customFormat="false" ht="15" hidden="false" customHeight="false" outlineLevel="0" collapsed="false">
      <c r="A7" s="28" t="s">
        <v>17</v>
      </c>
      <c r="B7" s="26" t="n">
        <v>2489300</v>
      </c>
      <c r="C7" s="26" t="n">
        <v>3123843</v>
      </c>
      <c r="D7" s="26" t="n">
        <v>3165561</v>
      </c>
      <c r="E7" s="26" t="n">
        <v>4146032</v>
      </c>
      <c r="F7" s="26" t="n">
        <v>3835192</v>
      </c>
      <c r="G7" s="32" t="n">
        <f aca="false">SUM(B7:F7)</f>
        <v>16759928</v>
      </c>
    </row>
    <row r="8" customFormat="false" ht="15" hidden="false" customHeight="false" outlineLevel="0" collapsed="false">
      <c r="A8" s="31" t="s">
        <v>54</v>
      </c>
      <c r="B8" s="32" t="n">
        <f aca="false">SUM(B3:B7)</f>
        <v>13773506</v>
      </c>
      <c r="C8" s="32" t="n">
        <f aca="false">SUM(C3:C7)</f>
        <v>16921280</v>
      </c>
      <c r="D8" s="32" t="n">
        <f aca="false">SUM(D3:D7)</f>
        <v>16610426</v>
      </c>
      <c r="E8" s="32" t="n">
        <f aca="false">SUM(E3:E7)</f>
        <v>17407514</v>
      </c>
      <c r="F8" s="32" t="n">
        <f aca="false">SUM(F3:F7)</f>
        <v>16720754</v>
      </c>
      <c r="G8" s="32" t="n">
        <f aca="false">SUM(G3:G7)</f>
        <v>81433480</v>
      </c>
    </row>
  </sheetData>
  <mergeCells count="1">
    <mergeCell ref="A1:F1"/>
  </mergeCells>
  <conditionalFormatting sqref="B3:F7">
    <cfRule type="colorScale" priority="2">
      <colorScale>
        <cfvo type="min" val="0"/>
        <cfvo type="percentile" val="50"/>
        <cfvo type="max" val="0"/>
        <color rgb="FFFFFFFF"/>
        <color rgb="FFBDD7EE"/>
        <color rgb="FF1F386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2026-05-23T15:18:14Z</dcterms:created>
  <dc:creator>openpyxl</dc:creator>
  <dc:description/>
  <dc:language>en-US</dc:language>
  <cp:lastModifiedBy/>
  <dcterms:modified xsi:type="dcterms:W3CDTF">2026-05-23T15:18:20Z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